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 activeTab="1"/>
  </bookViews>
  <sheets>
    <sheet name="总览" sheetId="1" r:id="rId1"/>
    <sheet name="逐项设计" sheetId="2" r:id="rId2"/>
    <sheet name="规则族" sheetId="3" r:id="rId3"/>
    <sheet name="YOLO对象词表" sheetId="4" r:id="rId4"/>
    <sheet name="拆分合并建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<sst xmlns="http://schemas.openxmlformats.org/spreadsheetml/2006/main" count="2050" uniqueCount="1374">
  <si>
    <t>工地隐患 YOLO + VLM + 规则引擎逐项设计</t>
  </si>
  <si>
    <t>源文件</t>
  </si>
  <si>
    <t>AI安全隐患识别清单2.0.xlsx / 隐患条目(SZ项目)</t>
  </si>
  <si>
    <t>判定路线</t>
  </si>
  <si>
    <t>条目数</t>
  </si>
  <si>
    <t>设计基准</t>
  </si>
  <si>
    <t>以‘隐患内容’为主标签，结合‘批注’、‘简要标签’、说明与检查方法</t>
  </si>
  <si>
    <t>A/A-B：直接对象关系</t>
  </si>
  <si>
    <t>源标签数量</t>
  </si>
  <si>
    <t>B：YOLO+规则+VLM</t>
  </si>
  <si>
    <t>核心原则</t>
  </si>
  <si>
    <t>只标真实可见对象；缺失由规则生成应检区后判断；未检测到不等于缺失</t>
  </si>
  <si>
    <t>C：视频/时序</t>
  </si>
  <si>
    <t>距离/长度</t>
  </si>
  <si>
    <t>本版只保留参数位，不固化具体阈值；后续按项目方案、机位标定和现场测试配置</t>
  </si>
  <si>
    <t>D：需外部资料/测量</t>
  </si>
  <si>
    <t>最终状态</t>
  </si>
  <si>
    <t>present / hazard_candidate / review_required / not_applicable；重大隐患进入人工复核闭环</t>
  </si>
  <si>
    <t>注意</t>
  </si>
  <si>
    <t>源标签不删除；复合标签拆为原子结果后，可在业务层聚合回原标签</t>
  </si>
  <si>
    <t>推荐运行链路</t>
  </si>
  <si>
    <t>图像/视频帧 → 场景与真实对象检测 → 项目规则触发 → 自动生成当前检查区 → VLM核验可见证据 → 规则聚合 → 人工复核/台账闭环</t>
  </si>
  <si>
    <t>72项隐患逐项视觉识别与规则设计（原标签完整保留）</t>
  </si>
  <si>
    <t>序号</t>
  </si>
  <si>
    <t>原分类</t>
  </si>
  <si>
    <t>原隐患内容</t>
  </si>
  <si>
    <t>批注</t>
  </si>
  <si>
    <t>规范化/原子标签</t>
  </si>
  <si>
    <t>作业区域</t>
  </si>
  <si>
    <t>重大隐患</t>
  </si>
  <si>
    <t>采集方式</t>
  </si>
  <si>
    <t>检查方法</t>
  </si>
  <si>
    <t>规则族</t>
  </si>
  <si>
    <t>YOLO标注对象/锚点</t>
  </si>
  <si>
    <t>禁止或不应直接标注</t>
  </si>
  <si>
    <t>触发前置与规则条件</t>
  </si>
  <si>
    <t>自动检查区/关系</t>
  </si>
  <si>
    <t>VLM核验任务</t>
  </si>
  <si>
    <t>最终输出状态</t>
  </si>
  <si>
    <t>视觉边界/外部证据</t>
  </si>
  <si>
    <t>拆分归并建议</t>
  </si>
  <si>
    <t>源表说明</t>
  </si>
  <si>
    <t>判定依据</t>
  </si>
  <si>
    <t>主路线</t>
  </si>
  <si>
    <t>人员防护</t>
  </si>
  <si>
    <t>坠落高度基准面2m以上作业人员未系挂安全带，高处作业人员安全带系挂在不可靠构件上（如钢筋、管道）</t>
  </si>
  <si>
    <t>判断是否处于边缘，容易跌落，脚手架漏空处容易跌落</t>
  </si>
  <si>
    <t>高处作业未系挂安全带；安全带系挂点不可靠</t>
  </si>
  <si>
    <t>全场区高处作业点</t>
  </si>
  <si>
    <t>是</t>
  </si>
  <si>
    <t>定点监控设备</t>
  </si>
  <si>
    <t>现场检查作业人员安全带系挂情况</t>
  </si>
  <si>
    <t>F01 人员-PPE关系</t>
  </si>
  <si>
    <t>person；safety_harness；lanyard；safety_hook；open_edge/floor_opening/scaffold_facade</t>
  </si>
  <si>
    <t>不要把‘未系挂’或空中的预期挂点画成物体框</t>
  </si>
  <si>
    <t>人员进入高处暴露区，且身体/安全带区域可见；分别检查是否穿戴、是否连接、挂点对象是否可靠</t>
  </si>
  <si>
    <t>人员全身+躯干近景+绳端/挂点+危险边界上下文</t>
  </si>
  <si>
    <t>核验安全带是否真实穿戴、绳带是否连续连接、挂点是否为可靠结构；遮挡时review_required</t>
  </si>
  <si>
    <t>present / hazard_candidate / review_required / not_applicable</t>
  </si>
  <si>
    <t>2m高度与挂点承载可靠性需机位标定、项目配置或人工确认</t>
  </si>
  <si>
    <t>建议拆成两个原子结论：未系挂；系挂点不可靠，共用同一对象模型</t>
  </si>
  <si>
    <t/>
  </si>
  <si>
    <t>《房屋市政工程生产安全重大事故隐患判定标准（2024版）》第九条</t>
  </si>
  <si>
    <t>B</t>
  </si>
  <si>
    <t>电工、电焊或作业人员未按规定穿戴绝缘手套、绝缘鞋等个人防护用品进行带电作业</t>
  </si>
  <si>
    <t>分辨什么人是电工，再判断是否应该 带手套绝缘鞋等等</t>
  </si>
  <si>
    <t>带电/焊接作业人员绝缘PPE缺失</t>
  </si>
  <si>
    <t>全场区</t>
  </si>
  <si>
    <t>否</t>
  </si>
  <si>
    <t>千里眼/移动执法记录仪</t>
  </si>
  <si>
    <t>现场检查涉电作业人员是否按规定穿戴绝缘手套、绝缘鞋等防护用品</t>
  </si>
  <si>
    <t>person；electrical_work_tool；welding_arc；insulated_glove；insulated_shoe</t>
  </si>
  <si>
    <t>不要把人员职业‘电工’直接作为外观标签；不要在不可见手脚处画缺失框</t>
  </si>
  <si>
    <t>先确认正在进行带电/电焊作业，再检查对应人员手部和足部PPE</t>
  </si>
  <si>
    <t>作业工具—人员关系区，附手部和足部局部图</t>
  </si>
  <si>
    <t>核验作业类型及绝缘手套、绝缘鞋是否可见且正在穿戴</t>
  </si>
  <si>
    <t>绝缘等级、带电状态和PPE性能不能仅靠外观确认</t>
  </si>
  <si>
    <t>与第4、60条复用‘作业状态→PPE关系’规则骨架</t>
  </si>
  <si>
    <t>作业状态下</t>
  </si>
  <si>
    <t>《建筑与市政工程施工现场临时用电安全技术标准》JGJ/T46-2024第10.2.3条第1款</t>
  </si>
  <si>
    <t>进入施工现场未佩戴安全帽</t>
  </si>
  <si>
    <t>施工现场人员未佩戴安全帽</t>
  </si>
  <si>
    <t>对施工区出入口及作业面进行目视巡查</t>
  </si>
  <si>
    <t>A/B：YOLO关系判定，疑难样本VLM</t>
  </si>
  <si>
    <t>person；head；helmet</t>
  </si>
  <si>
    <t>不标‘未戴安全帽’空气框</t>
  </si>
  <si>
    <t>人员进入施工区域ROI且头部清晰可见</t>
  </si>
  <si>
    <t>头部上方及人员全身上下文</t>
  </si>
  <si>
    <t>区分安全帽、普通帽、兜帽和手持安全帽</t>
  </si>
  <si>
    <t>头部过小、遮挡、背面时review_required</t>
  </si>
  <si>
    <t>与全部PPE类共享person/head基础对象</t>
  </si>
  <si>
    <t>JGJ59-2011 第3.1.3条</t>
  </si>
  <si>
    <t>A</t>
  </si>
  <si>
    <t>切割作业未佩戴护目镜</t>
  </si>
  <si>
    <t>先判断切割作业</t>
  </si>
  <si>
    <t>切割/打磨作业未佩戴护目镜</t>
  </si>
  <si>
    <t>目视检查切割、打磨人员眼部防护</t>
  </si>
  <si>
    <t>person；cutting_tool；grinding_tool；spark；safety_glasses/face_shield</t>
  </si>
  <si>
    <t>不把普通站立人员当作适用对象</t>
  </si>
  <si>
    <t>切割/打磨工具正在工作或出现连续火花，再检查操作者眼部</t>
  </si>
  <si>
    <t>操作者上半身、眼部近景及工具关系区</t>
  </si>
  <si>
    <t>核验是否为切割/打磨事件，眼部是否有有效护目镜或面屏</t>
  </si>
  <si>
    <t>远景通常无法识别透明护目镜，应要求抵近采集</t>
  </si>
  <si>
    <t>与第2条复用活动识别和PPE检查</t>
  </si>
  <si>
    <t>墙体砌筑站在不稳固的垫高物上</t>
  </si>
  <si>
    <t>砌筑人员使用不稳固垫高物</t>
  </si>
  <si>
    <t>C栋、D栋、保障房、写字楼二次结构作业面</t>
  </si>
  <si>
    <t>目视检查操作平台是否稳固、有无摇晃</t>
  </si>
  <si>
    <t>person；masonry_work_zone；improvised_platform；ladder；scaffold_platform</t>
  </si>
  <si>
    <t>不把‘不稳固’直接作为YOLO类别</t>
  </si>
  <si>
    <t>人员从事砌筑且脚部位于临时垫高物/非正规平台</t>
  </si>
  <si>
    <t>人员脚部—支承物关系区及整体作业面</t>
  </si>
  <si>
    <t>核验支承物是否为砖块、木箱等临时拼垫，是否明显倾斜、松散</t>
  </si>
  <si>
    <t>真实承载稳定性无法完全视觉确认；证据不足复核</t>
  </si>
  <si>
    <t>与人员站位、平台安全类共用支承关系规则</t>
  </si>
  <si>
    <t>人的不安全行为</t>
  </si>
  <si>
    <t>JGJ80-2016 第5.1.1条</t>
  </si>
  <si>
    <t>集中堆载</t>
  </si>
  <si>
    <t>楼层内砌块集中堆放超过楼板设计荷载</t>
  </si>
  <si>
    <t>楼层材料集中堆载疑似超载</t>
  </si>
  <si>
    <t>估算楼层堆放荷载是否超过楼板设计荷载</t>
  </si>
  <si>
    <t>F02 堆载与材料状态</t>
  </si>
  <si>
    <t>D：视觉候选+项目荷载数据</t>
  </si>
  <si>
    <t>material_stack；block_stack；floor_slab/indoor_floor</t>
  </si>
  <si>
    <t>不要直接训练‘超过设计荷载’；不要仅凭堆放存在判超载</t>
  </si>
  <si>
    <t>材料堆位于楼层承载面，按种类、数量/体积估算面荷载，再对照楼板设计值</t>
  </si>
  <si>
    <t>材料堆及其占地面、楼层定位</t>
  </si>
  <si>
    <t>识别材料种类、堆放密度、是否明显集中</t>
  </si>
  <si>
    <t>必须接入材料单位重量、楼板设计荷载、尺度/数量估算；单图只能疑似</t>
  </si>
  <si>
    <t>与第7、10、68条归为堆载规则族，但场景阈值分别配置</t>
  </si>
  <si>
    <t>建议换算成块（1吨/平方）</t>
  </si>
  <si>
    <t>GB50203-2011 第3.0.18条</t>
  </si>
  <si>
    <t>D</t>
  </si>
  <si>
    <t>砌块堆放高度超过2m</t>
  </si>
  <si>
    <t>任何施工材料存放</t>
  </si>
  <si>
    <t>材料堆放高度超限</t>
  </si>
  <si>
    <t>测量材料堆放高度是否超出规定</t>
  </si>
  <si>
    <t>B/D：几何估算+复核</t>
  </si>
  <si>
    <t>material_stack；block_stack；reference_object/floor_plane</t>
  </si>
  <si>
    <t>不把‘超过2m’作为物体类别</t>
  </si>
  <si>
    <t>识别材料堆并估算高度；有标定或已知参照物后与项目阈值比较</t>
  </si>
  <si>
    <t>完整材料堆外接区域及地面基线</t>
  </si>
  <si>
    <t>核验堆顶、堆底是否清晰，是否存在透视/遮挡导致误估</t>
  </si>
  <si>
    <t>精确高度需相机标定、深度或现场尺量；当前先保留阈值占位</t>
  </si>
  <si>
    <t>与第6条共用材料堆检测，标签结论独立</t>
  </si>
  <si>
    <t>2米没法精确，采用相对参照物比对有误差</t>
  </si>
  <si>
    <t>JGJ59-2011 第3.1.4条</t>
  </si>
  <si>
    <t>基坑周边2m范围内堆载（材料、土方等）</t>
  </si>
  <si>
    <t>材料、土方、设备周围</t>
  </si>
  <si>
    <t>基坑边危险范围内堆载</t>
  </si>
  <si>
    <t>全场区基坑临边</t>
  </si>
  <si>
    <t>检查基坑边2m内有无材料堆放</t>
  </si>
  <si>
    <t>B：YOLO+几何规则+VLM</t>
  </si>
  <si>
    <t>excavation_edge；material_stack；soil_pile；construction_equipment</t>
  </si>
  <si>
    <t>不把基坑周边空白区全量画成物体框</t>
  </si>
  <si>
    <t>同时检测基坑危险边界和堆载对象；在项目配置的边缘带内建立空间关系</t>
  </si>
  <si>
    <t>沿基坑边界生成外侧堆载检查带</t>
  </si>
  <si>
    <t>核验对象是否为材料/土方/重型设备以及是否确实位于坑边同一平面</t>
  </si>
  <si>
    <t>具体距离暂不固化；透视严重时需固定机位标定</t>
  </si>
  <si>
    <t>复用堆载对象；与洞口临边规则共享危险边界但业务结论不同</t>
  </si>
  <si>
    <t>项目特殊情况，本项目现场受限，很容易出现基坑旁堆载，调整识别距离</t>
  </si>
  <si>
    <t>JGJ120-2012 第8.1.5条</t>
  </si>
  <si>
    <t>脚手架工程</t>
  </si>
  <si>
    <t>附着式升降脚手架防倾覆、防坠落装置失效</t>
  </si>
  <si>
    <t>附着式升降脚手架防倾覆/防坠装置异常</t>
  </si>
  <si>
    <t>C、D栋、保障房附着式升降脚手架</t>
  </si>
  <si>
    <t>现场检查防坠装置有效性，查看检测报告</t>
  </si>
  <si>
    <t>F11 设备部件外观</t>
  </si>
  <si>
    <t>D：外观检查+试验/报告</t>
  </si>
  <si>
    <t>climbing_scaffold；anti_fall_device；anti_overturn_support；attachment_point</t>
  </si>
  <si>
    <t>不要把‘失效’仅凭装置存在/不存在标注</t>
  </si>
  <si>
    <t>识别附着式升降脚手架及关键装置；缺失或明显破损触发告警，功能有效性进入外部核验</t>
  </si>
  <si>
    <t>升降机位及防坠、防倾装置近景</t>
  </si>
  <si>
    <t>核验装置是否缺失、断裂、脱开、明显变形</t>
  </si>
  <si>
    <t>功能失效需试验，校验状态需报告；视觉不能完成最终验收</t>
  </si>
  <si>
    <t>与第67条共用关键安全装置外观+资料双通道</t>
  </si>
  <si>
    <t>《房屋市政工程生产安全重大事故隐患判定标准（2024版）》第七条</t>
  </si>
  <si>
    <t>在脚手架集中堆放材料超载</t>
  </si>
  <si>
    <t>脚手架作业层材料集中堆载疑似超载</t>
  </si>
  <si>
    <t>保障房、写字楼落地脚手架</t>
  </si>
  <si>
    <t>目视估算脚手板堆载是否超过200kg/m²</t>
  </si>
  <si>
    <t>D：视觉候选+荷载配置</t>
  </si>
  <si>
    <t>scaffold_platform；material_stack；block_stack</t>
  </si>
  <si>
    <t>不要把材料存在直接等同于超载</t>
  </si>
  <si>
    <t>材料堆位于脚手架作业层，估算数量/体积和占地，按架体允许荷载对照</t>
  </si>
  <si>
    <t>作业层材料堆及脚手板支承区域</t>
  </si>
  <si>
    <t>核验是否为集中堆放、材料类型及是否侵占通道</t>
  </si>
  <si>
    <t>实际重量与允许荷载需方案/台账；只能输出疑似超载</t>
  </si>
  <si>
    <t>与第6条共用堆载识别，承载面和阈值不同</t>
  </si>
  <si>
    <t>原则上不允许堆放
（实际上可能常见发生）</t>
  </si>
  <si>
    <t>JGJ130-2011 第9.0.5条</t>
  </si>
  <si>
    <t>擅自拆除脚手架连墙件</t>
  </si>
  <si>
    <t>脚手架与建筑物连接</t>
  </si>
  <si>
    <t>脚手架应设位置连墙件缺失</t>
  </si>
  <si>
    <t>检查架体与主体结构连接点是否缺失</t>
  </si>
  <si>
    <t>F03 脚手架构造完整性</t>
  </si>
  <si>
    <t>B/D：规则生成应检点+VLM</t>
  </si>
  <si>
    <t>scaffold_facade；wall_surface；wall_tie</t>
  </si>
  <si>
    <t>不标‘擅自拆除’意图；不在空处画wall_tie</t>
  </si>
  <si>
    <t>墙面与脚手架相邻且项目方案给出应设节点；已知历史存在后消失可支持‘拆除’</t>
  </si>
  <si>
    <t>墙—架连接带及应检节点窗口</t>
  </si>
  <si>
    <t>核验节点清晰可见且未见有效连墙件，或可见拆除痕迹</t>
  </si>
  <si>
    <t>单张照片无法证明‘擅自拆除’；建议业务标签规范化为连墙件缺失</t>
  </si>
  <si>
    <t>与第16、20、21条共用连墙件对象和规则图</t>
  </si>
  <si>
    <t>JGJ130-2011 第6.4.2条</t>
  </si>
  <si>
    <t>脚手架作业层脚手板未铺满、铺稳（脚手板未绑扎固定），或存在探头板</t>
  </si>
  <si>
    <t>脚手板未铺满/未铺稳/未固定；探头板</t>
  </si>
  <si>
    <t>随手拍</t>
  </si>
  <si>
    <t>目视检查作业层脚手板铺设覆盖率</t>
  </si>
  <si>
    <t>scaffold_platform；scaffold_board；board_end；binding_wire</t>
  </si>
  <si>
    <t>不把多个缺陷合成一个YOLO类别</t>
  </si>
  <si>
    <t>识别作业层与脚手板，分别检查覆盖、支承、端部悬挑和绑扎可见性</t>
  </si>
  <si>
    <t>整层板面+板端/支承点近景</t>
  </si>
  <si>
    <t>核验板是否错位、翘起、松动迹象、是否存在探头板及可见固定件</t>
  </si>
  <si>
    <t>绑扎细节通常需近景；被人员/材料遮挡时复核</t>
  </si>
  <si>
    <t>建议拆成铺设不完整、稳定/固定不足、探头板三个原子状态</t>
  </si>
  <si>
    <t>JGJ130-2011 第6.2.4条</t>
  </si>
  <si>
    <t>脚手架架体外围未用密目式安全网全封闭</t>
  </si>
  <si>
    <t>安全网</t>
  </si>
  <si>
    <t>脚手架外立面密目网未全封闭</t>
  </si>
  <si>
    <t>查看外架是否使用密目网全封闭</t>
  </si>
  <si>
    <t>A/B：分割覆盖率+VLM</t>
  </si>
  <si>
    <t>scaffold_facade；safety_net</t>
  </si>
  <si>
    <t>不要把无网区域画成safety_net</t>
  </si>
  <si>
    <t>脚手架立面可见，计算安全网对立面的覆盖与连续性</t>
  </si>
  <si>
    <t>脚手架立面整体ROI</t>
  </si>
  <si>
    <t>核验网体是否真实存在、是否为密目网、边界是否因遮挡误判</t>
  </si>
  <si>
    <t>背面/楼体遮挡导致立面不完整时review_required</t>
  </si>
  <si>
    <t>与第23条共享safety_net；本条检查覆盖，第23条检查质量</t>
  </si>
  <si>
    <t>JGJ130-2011 第9.0.12条</t>
  </si>
  <si>
    <t>脚手架与主体结构之间缺少层间水平防护</t>
  </si>
  <si>
    <t>脚手架与主体间层间水平防护缺失</t>
  </si>
  <si>
    <t>查看架体与结构之间空隙是否有水平兜网</t>
  </si>
  <si>
    <t>B：关系规则+VLM</t>
  </si>
  <si>
    <t>scaffold_facade；building_slab_edge；horizontal_safety_net；scaffold_board</t>
  </si>
  <si>
    <t>不在架体与墙体间的空气区域画‘缺失兜网’物体框</t>
  </si>
  <si>
    <t>识别架体与楼层边缘后生成间隙检查带，检查水平兜网/封板</t>
  </si>
  <si>
    <t>架体—主体间水平缝隙带</t>
  </si>
  <si>
    <t>核验是否存在连续、有效的水平防护以及是否被遮挡</t>
  </si>
  <si>
    <t>必须确认对应层确需设置；远景看不到水平面时复核</t>
  </si>
  <si>
    <t>与临边防护共享网/板对象，但规则场景独立</t>
  </si>
  <si>
    <t>兜网</t>
  </si>
  <si>
    <t>JGJ130-2011 第9.0.11条</t>
  </si>
  <si>
    <t>剪刀撑未连续设置或设置不全</t>
  </si>
  <si>
    <t>有斜撑也可以，理想情况能够甄别是否合规</t>
  </si>
  <si>
    <t>脚手架剪刀撑不连续或设置不全</t>
  </si>
  <si>
    <t>目视检查架体两端和中间是否连续设置剪刀撑</t>
  </si>
  <si>
    <t>B：结构覆盖规则+VLM</t>
  </si>
  <si>
    <t>scaffold_facade；diagonal_brace/cross_brace</t>
  </si>
  <si>
    <t>不要将普通斜杆未经区分全部标成剪刀撑</t>
  </si>
  <si>
    <t>脚手架立面完整可见，提取斜撑线段并检查端部、连续性和立面覆盖</t>
  </si>
  <si>
    <t>脚手架整立面及斜撑连接区域</t>
  </si>
  <si>
    <t>区分剪刀撑、横向斜撑和临时斜杆；核验中断/缺段</t>
  </si>
  <si>
    <t>规范布置与架体类型、长度有关，需项目配置</t>
  </si>
  <si>
    <t>与第16、41条复用斜撑检测，但结构类型和上下文不同</t>
  </si>
  <si>
    <t>JGJ130-2011 第6.6.1条</t>
  </si>
  <si>
    <t>开口型脚手架两端未设置横向斜撑及连墙件</t>
  </si>
  <si>
    <t>开口型脚手架端部横向斜撑缺失；端部连墙件缺失</t>
  </si>
  <si>
    <t>检查开口脚手架两端是否有横向斜撑</t>
  </si>
  <si>
    <t>B：端部识别+规则+VLM</t>
  </si>
  <si>
    <t>open_end_scaffold；transverse_brace；wall_tie；wall_surface</t>
  </si>
  <si>
    <t>不把脚手架任意侧面当开口端；不画缺失构件框</t>
  </si>
  <si>
    <t>先判定开口型脚手架端部，再按方案检查横向斜撑和端部连墙件</t>
  </si>
  <si>
    <t>开口端整面+墙—架连接窗口</t>
  </si>
  <si>
    <t>核验端部类型、斜撑和连墙件是否真实有效</t>
  </si>
  <si>
    <t>应拆成两个原子状态，端部被网遮挡时复核</t>
  </si>
  <si>
    <t>并入脚手架构造族；连墙件子规则复用第11/20/21条</t>
  </si>
  <si>
    <t>JGJ130-2011 第6.6.5条</t>
  </si>
  <si>
    <t>立杆基础不坚实、不平整，缺少底座或垫板</t>
  </si>
  <si>
    <t>脚手架立杆基础不良；底座/垫板缺失</t>
  </si>
  <si>
    <t>检查立杆底部是否设置底座或厚度≥50mm垫板</t>
  </si>
  <si>
    <t>B：底部节点检查+VLM</t>
  </si>
  <si>
    <t>scaffold_upright；base_plate；sole_board；ground_surface</t>
  </si>
  <si>
    <t>不把‘不坚实’直接作为YOLO物体类别</t>
  </si>
  <si>
    <t>检测立杆底端并生成基础节点，检查底座、垫板、地面状态和偏斜</t>
  </si>
  <si>
    <t>每根/抽样立杆底部节点近景</t>
  </si>
  <si>
    <t>核验底座和垫板是否存在、地面是否明显松软/不平/沉陷</t>
  </si>
  <si>
    <t>基础承载力不能仅凭图像确认；遮挡时复核</t>
  </si>
  <si>
    <t>与第39条复用base_plate/sole_board，但由脚手架场景区分</t>
  </si>
  <si>
    <t>JGJ130-2011 第7.2.3条</t>
  </si>
  <si>
    <t>立杆基础无排水措施，积水浸泡</t>
  </si>
  <si>
    <t>脚手架立杆基础积水/排水异常</t>
  </si>
  <si>
    <t>检查脚手架基础是否有排水沟、积水深度</t>
  </si>
  <si>
    <t>F12 积水排水与边坡</t>
  </si>
  <si>
    <t>B/C：对象+积水分割+时序</t>
  </si>
  <si>
    <t>scaffold_base；standing_water；drainage_ditch</t>
  </si>
  <si>
    <t>不要把看不到排水沟直接判无排水措施</t>
  </si>
  <si>
    <t>识别脚手架基础区域；出现积水或雨后长期不退触发检查</t>
  </si>
  <si>
    <t>脚手架基础外扩排水ROI</t>
  </si>
  <si>
    <t>核验水体是否浸泡立杆基础、排水口是否明显堵塞</t>
  </si>
  <si>
    <t>‘无排水措施’与排水能力需现场/时序确认</t>
  </si>
  <si>
    <t>与第37、51、64条复用standing_water与排水对象</t>
  </si>
  <si>
    <t>JGJ130-2011 第7.2.2条</t>
  </si>
  <si>
    <t>C</t>
  </si>
  <si>
    <t>立杆底部未设置纵向、横向扫地杆</t>
  </si>
  <si>
    <t>最底下的是扫地杆，最下面那根不能太高</t>
  </si>
  <si>
    <t>脚手架纵横向扫地杆缺失/异常</t>
  </si>
  <si>
    <t>检查立杆底部是否设置纵横向扫地杆</t>
  </si>
  <si>
    <t>B：底部结构规则+VLM</t>
  </si>
  <si>
    <t>scaffold_upright；longitudinal_sweep_rod；transverse_sweep_rod；ground_surface</t>
  </si>
  <si>
    <t>不把任意低位横杆都标为扫地杆</t>
  </si>
  <si>
    <t>识别立杆底部结构，检查两个方向扫地杆是否连接并连续</t>
  </si>
  <si>
    <t>脚手架底部带状区域</t>
  </si>
  <si>
    <t>区分扫地杆、普通水平杆和遮挡杆件</t>
  </si>
  <si>
    <t>高度阈值后续配置；视角只能看到一个方向时复核</t>
  </si>
  <si>
    <t>与支撑体系横杆共享杆件特征，但类名和场景分开</t>
  </si>
  <si>
    <t>JGJ130-2011 第6.3.2条</t>
  </si>
  <si>
    <t>连墙件数量不足或设置间距超过规范要求</t>
  </si>
  <si>
    <t>连墙件数量不足/布置间距异常</t>
  </si>
  <si>
    <t>按两步三跨标准核对连墙件间距</t>
  </si>
  <si>
    <t>D：规则图+项目方案+VLM</t>
  </si>
  <si>
    <t>scaffold_facade；wall_surface；wall_tie；scaffold_grid_node</t>
  </si>
  <si>
    <t>不要只因YOLO漏检就判数量不足</t>
  </si>
  <si>
    <t>建立脚手架网格和墙—架连接带，按专项方案生成应检节点并统计可见有效连墙件</t>
  </si>
  <si>
    <t>整立面连接带+每个应检节点窗口</t>
  </si>
  <si>
    <t>逐点返回present/missing/review_required并核验遮挡</t>
  </si>
  <si>
    <t>数量与间距必须读取专项方案；无需现在固化距离</t>
  </si>
  <si>
    <t>与第11、21条合并为同一连墙件规则服务，输出不同业务结论</t>
  </si>
  <si>
    <t>房建重点关注项（连墙件)，（钢管、盘口架）和方案有关系</t>
  </si>
  <si>
    <t>JGJ130-2011 第6.4.3条</t>
  </si>
  <si>
    <t>连墙件未靠近主节点设置（距主节点＞300mm）</t>
  </si>
  <si>
    <t>连墙件相对主节点位置异常</t>
  </si>
  <si>
    <t>测量连墙件与主节点距离是否≤300mm</t>
  </si>
  <si>
    <t>D：节点关系+尺度配置</t>
  </si>
  <si>
    <t>wall_tie；scaffold_main_node；scaffold_upright；ledger</t>
  </si>
  <si>
    <t>不训练‘距主节点超限’物体类别</t>
  </si>
  <si>
    <t>同时识别连墙件和主节点，计算最近节点关系后与配置阈值比较</t>
  </si>
  <si>
    <t>连墙件及相邻主节点局部ROI</t>
  </si>
  <si>
    <t>核验对象身份和连接关系是否清晰</t>
  </si>
  <si>
    <t>精确距离需标定/已知杆件尺度；目前保留规则参数</t>
  </si>
  <si>
    <t>并入连墙件规则服务，不与‘数量不足’重复训练对象</t>
  </si>
  <si>
    <t>临边防护</t>
  </si>
  <si>
    <t>临边洞口未按规范设置防护设施</t>
  </si>
  <si>
    <t>洞口防护缺失/异常；外侧临边防护缺失/异常</t>
  </si>
  <si>
    <t>全场区四口五临边</t>
  </si>
  <si>
    <t>现场检查临边防护、洞口盖板等设置情况</t>
  </si>
  <si>
    <t>F04 洞口临边防护</t>
  </si>
  <si>
    <t>B：危险源分流+防护关系</t>
  </si>
  <si>
    <t>floor_opening；open_edge；guardrail；opening_cover；safety_net；toe_board</t>
  </si>
  <si>
    <t>不得把洞口周界重复标为open_edge；不得在缺失处画防护物空气框</t>
  </si>
  <si>
    <t>floor_opening触发环形检查带；open_edge触发带状检查区；分别核验盖板、护栏、网等</t>
  </si>
  <si>
    <t>洞口周边环形带或外侧临边带</t>
  </si>
  <si>
    <t>核验防护物是否有效、连续、破损、移位及画面是否可判</t>
  </si>
  <si>
    <t>原标签混合两类危险源，必须拆成洞口和外侧临边两条原子规则</t>
  </si>
  <si>
    <t>这是最重要的拆分项；共享防护物对象，不共享危险源标签</t>
  </si>
  <si>
    <t>重点，高频</t>
  </si>
  <si>
    <t>密目式安全网破损、脱落或网间连接不严</t>
  </si>
  <si>
    <t>密目式安全网破损/脱落/连接不严</t>
  </si>
  <si>
    <t>检查安全网是否有破洞、系绳是否断裂</t>
  </si>
  <si>
    <t>B：分割+缺陷VLM</t>
  </si>
  <si>
    <t>safety_net；net_hole；detached_net_edge；tie_point</t>
  </si>
  <si>
    <t>不要用‘安全网异常’作为单一YOLO大类替代真实网体</t>
  </si>
  <si>
    <t>检测安全网后按网面分块检查孔洞、脱边和拼接缝</t>
  </si>
  <si>
    <t>安全网局部网格及边缘连接ROI</t>
  </si>
  <si>
    <t>核验破洞、撕裂、松脱、网间缝隙是否真实而非阴影</t>
  </si>
  <si>
    <t>小孔洞需要近景/高分辨率；远景只判大面积缺陷</t>
  </si>
  <si>
    <t>与第13条共享安全网检测，本条专注质量缺陷</t>
  </si>
  <si>
    <t>立面</t>
  </si>
  <si>
    <t>电梯井口未设置防护门或防护门高度不足1.5m</t>
  </si>
  <si>
    <t>电梯井口防护门缺失/开启/高度异常</t>
  </si>
  <si>
    <t>C栋、D栋、保障房、写字楼</t>
  </si>
  <si>
    <t>检查电梯井口防护门设置情况</t>
  </si>
  <si>
    <t>B/D：井口—门关系+尺度</t>
  </si>
  <si>
    <t>elevator_shaft_opening；shaft_protection_door；door_panel</t>
  </si>
  <si>
    <t>不在无门处画door框</t>
  </si>
  <si>
    <t>检测电梯井口后检查门是否存在、闭合并覆盖井口；高度作为可配置几何项</t>
  </si>
  <si>
    <t>井口及门整体ROI</t>
  </si>
  <si>
    <t>核验是否为有效防护门、是否开启/破损、井口是否被遮挡</t>
  </si>
  <si>
    <t>高度精确值需尺度标定；建议拆为缺失/开启与高度不足</t>
  </si>
  <si>
    <t>与第28条都检查门状态，但设备场景不同</t>
  </si>
  <si>
    <t>JGJ80-2016 第4.2.2条</t>
  </si>
  <si>
    <t>竖向洞口防护栏杆高度不足1.2m</t>
  </si>
  <si>
    <t>竖向洞口防护栏杆高度异常</t>
  </si>
  <si>
    <t>测量洞口临边防护栏杆上杆高度</t>
  </si>
  <si>
    <t>D：对象关系+尺度配置</t>
  </si>
  <si>
    <t>vertical_opening；guardrail；floor_plane/reference_object</t>
  </si>
  <si>
    <t>不要把圆形/水平洞口标成vertical_opening</t>
  </si>
  <si>
    <t>检测竖向洞口及其栏杆，计算相对覆盖高度</t>
  </si>
  <si>
    <t>洞口正面及栏杆整体ROI</t>
  </si>
  <si>
    <t>核验洞口类型和栏杆是否完整、是否存在透视误差</t>
  </si>
  <si>
    <t>精确高度需标定或尺量；单图只输出疑似高度不足</t>
  </si>
  <si>
    <t>与第22条共享guardrail，但危险源为竖向洞口</t>
  </si>
  <si>
    <t>JGJ80-2016 第4.2.1条</t>
  </si>
  <si>
    <t>临边防护栏杆未设置挡脚板</t>
  </si>
  <si>
    <t>挡脚板</t>
  </si>
  <si>
    <t>临边防护缺少挡脚板</t>
  </si>
  <si>
    <t>检查临边防护栏杆底部挡脚板设置</t>
  </si>
  <si>
    <t>B：边界—护栏—挡脚板关系</t>
  </si>
  <si>
    <t>open_edge；guardrail；toe_board</t>
  </si>
  <si>
    <t>不要把底部空隙画成toe_board</t>
  </si>
  <si>
    <t>检测临边及护栏后，在护栏底部生成挡脚板检查带</t>
  </si>
  <si>
    <t>护栏底边连续带</t>
  </si>
  <si>
    <t>核验是否存在连续挡脚板、是否被材料遮挡或破损</t>
  </si>
  <si>
    <t>无护栏时应同时触发更上位的临边防护缺失，不要只报挡脚板</t>
  </si>
  <si>
    <t>作为第22条外侧临边防护的子状态，避免重复告警可做父子聚合</t>
  </si>
  <si>
    <t>JGJ80-2016 第4.1.3条</t>
  </si>
  <si>
    <t>通道口未搭设安全防护棚</t>
  </si>
  <si>
    <t>蓝色安全棚</t>
  </si>
  <si>
    <t>建筑通道口安全防护棚缺失</t>
  </si>
  <si>
    <t>查看建筑物出入口是否设置长度≥6m防护棚</t>
  </si>
  <si>
    <t>F08 作业区与警戒隔离</t>
  </si>
  <si>
    <t>B/D：入口识别+配置</t>
  </si>
  <si>
    <t>building_entrance；passage_entrance；protective_canopy</t>
  </si>
  <si>
    <t>不在无遮挡入口上方画虚拟棚框</t>
  </si>
  <si>
    <t>识别建筑/施工通道入口，并依据项目入口清单或机位ROI检查防护棚</t>
  </si>
  <si>
    <t>入口上方及通行方向区域</t>
  </si>
  <si>
    <t>核验是否为可通行入口、是否存在有效防护棚及明显破损</t>
  </si>
  <si>
    <t>防护棚长度/承载能力需现场或设计资料；先不固化距离</t>
  </si>
  <si>
    <t>与第53条共享protective_canopy，但保护对象不同</t>
  </si>
  <si>
    <t>施工升降机各层卸料平台安全门未关闭</t>
  </si>
  <si>
    <t>施工升降机卸料平台安全门未关闭</t>
  </si>
  <si>
    <t>C栋、D栋、保障房、写字楼施工电梯</t>
  </si>
  <si>
    <t>检查各楼层安全门是否处于常闭状态</t>
  </si>
  <si>
    <t>C：视频门状态+时序确认</t>
  </si>
  <si>
    <t>construction_hoist_landing；landing_gate；person</t>
  </si>
  <si>
    <t>不要只用单帧门缝判断长期未关闭</t>
  </si>
  <si>
    <t>固定机位配置每层门ROI；门开启并持续超过时序阈值，或设备离层时开启，触发告警</t>
  </si>
  <si>
    <t>每层卸料平台门ROI</t>
  </si>
  <si>
    <t>核验门扇位置、是否被遮挡、是否正在人员通行</t>
  </si>
  <si>
    <t>应使用视频连续帧和升降机状态；瞬时开门不应告警</t>
  </si>
  <si>
    <t>与第24条共享门状态模型，规则上下文不同</t>
  </si>
  <si>
    <t>JGJ215-2010 第5.2.13条</t>
  </si>
  <si>
    <t>临时用电</t>
  </si>
  <si>
    <t>未实现“一机一闸一漏一箱”，一台开关箱控制多台用电设备</t>
  </si>
  <si>
    <t>一台开关箱控制多台设备/未落实一机一闸一漏一箱</t>
  </si>
  <si>
    <t>现场所有用电设备</t>
  </si>
  <si>
    <t>检查每台用电设备是否均有独立开关箱，是否存在一台开关箱控制多台设备或插座的情况</t>
  </si>
  <si>
    <t>F05 临电拓扑与接地</t>
  </si>
  <si>
    <t>D：近景拓扑+人工/电气数据</t>
  </si>
  <si>
    <t>switch_box；breaker；leakage_protector；socket；powered_equipment；power_cable</t>
  </si>
  <si>
    <t>不要把多个电缆框自动等同于多设备供电</t>
  </si>
  <si>
    <t>箱门打开且回路清晰时，建立开关/漏保—出线—设备连接图；发现多设备共用形成候选</t>
  </si>
  <si>
    <t>开关箱内部+出线端+设备连接上下文</t>
  </si>
  <si>
    <t>核验回路数量、插座/拖线板和出线关系</t>
  </si>
  <si>
    <t>真实回路拓扑、漏保功能需电工复核；普通远景不可判</t>
  </si>
  <si>
    <t>与第38条共同使用‘设备取电拓扑’模型</t>
  </si>
  <si>
    <t>电箱漏保接多个=隐患</t>
  </si>
  <si>
    <t>《建筑与市政工程施工现场临时用电安全技术标准》JGJ/T46-2024第4.1.2条</t>
  </si>
  <si>
    <t>配电箱、开关箱未做重复接地</t>
  </si>
  <si>
    <t>电箱都必须接地，有根拖线</t>
  </si>
  <si>
    <t>配电箱/开关箱重复接地缺失候选</t>
  </si>
  <si>
    <t>全场区Ⅰ、Ⅱ、Ⅲ级配电箱</t>
  </si>
  <si>
    <t>检查配电系统中间处和末端处是否设置重复接地；使用接地电阻测试仪测量接地电阻值</t>
  </si>
  <si>
    <t>D：外观证据+电气检测</t>
  </si>
  <si>
    <t>distribution_box；grounding_conductor；grounding_terminal；grounding_electrode</t>
  </si>
  <si>
    <t>不要仅按黄绿颜色判断真实接地；不把看不到的接地线判缺失</t>
  </si>
  <si>
    <t>电箱整体和接地端子清晰可见时检查黄绿导体、端子和接地去向</t>
  </si>
  <si>
    <t>箱体接地端子及外部接地路径近景</t>
  </si>
  <si>
    <t>核验是否存在接地导体、是否明显脱落/断开</t>
  </si>
  <si>
    <t>重复接地位置和接地电阻必须由系统图/测试仪/电工确认</t>
  </si>
  <si>
    <t>与第31、35条共享PE导体对象，但电气目标不同</t>
  </si>
  <si>
    <t>看线的颜色（接地线： 黄绿）</t>
  </si>
  <si>
    <t>《建筑与市政工程施工现场临时用电安全技术标准》JGJ/T46-2024第3.5.2条</t>
  </si>
  <si>
    <t>配电箱的金属箱体与箱门未用PE线做电气连接，配电箱未标明名称、用途，未做分路标记，无系统接线图、配电箱日常巡检记录表、配电箱箱门缺失或箱体破损</t>
  </si>
  <si>
    <t>箱门PE跨接缺失；电箱标识/图纸/巡检记录缺失；箱门/箱体破损</t>
  </si>
  <si>
    <t>检查配电箱箱体与箱门之间是否采用绿/黄组合色软绝缘导线跨接</t>
  </si>
  <si>
    <t>B/D：拆分三类检查</t>
  </si>
  <si>
    <t>distribution_box；box_door；pe_bonding_wire；nameplate；circuit_label；wiring_diagram；inspection_record；enclosure_damage</t>
  </si>
  <si>
    <t>不要将文字资料缺失和箱体破损合成一个YOLO类别</t>
  </si>
  <si>
    <t>检测电箱后分别触发：箱门跨接检查、OCR资料检查、箱体完整性检查</t>
  </si>
  <si>
    <t>电箱整体+铰链/跨接线近景+门内资料区</t>
  </si>
  <si>
    <t>核验PE跨接是否连接、标识/图纸/记录是否可读、箱门箱体是否破损</t>
  </si>
  <si>
    <t>源表跨行合并且包含三类问题，必须拆成三个原子结果；记录时仍回溯原序号31</t>
  </si>
  <si>
    <t>重要拆分项；PE跨接并入接地族，资料OCR和外观完整性单独输出</t>
  </si>
  <si>
    <t>每天巡检，建议提供样本图片</t>
  </si>
  <si>
    <t>《建筑与市政工程施工现场临时用电安全技术标准》JGJ/T46-2024第3.2.12条第4款</t>
  </si>
  <si>
    <t>配电箱周围堆放杂物，操作和维修通道不畅</t>
  </si>
  <si>
    <t>配电箱周边杂物占用操作维护通道</t>
  </si>
  <si>
    <t>检查配电箱周围是否预留足够两人同时工作的空间和通道，周边是否堆放妨碍操作的物品</t>
  </si>
  <si>
    <t>B：对象+可配置操作区</t>
  </si>
  <si>
    <t>distribution_box；obstruction/material_stack；access_path</t>
  </si>
  <si>
    <t>不把电箱附近任意物体都判杂物</t>
  </si>
  <si>
    <t>检测电箱后生成前方/周边操作维护ROI，检查障碍物侵入与通道连续性</t>
  </si>
  <si>
    <t>电箱前方操作区及通行路径</t>
  </si>
  <si>
    <t>核验物体是否确实妨碍开门、操作或通行</t>
  </si>
  <si>
    <t>操作空间尺寸后续配置；透视/固定机位优先</t>
  </si>
  <si>
    <t>与第56条都涉及配电箱周边，但一个查通道、一个查消防配置</t>
  </si>
  <si>
    <t>《建筑与市政工程施工现场临时用电安全技术标准》JGJ/T46-2024第4.1.5条</t>
  </si>
  <si>
    <t>电缆线路沿地面明敷，未采取架空或埋地敷设</t>
  </si>
  <si>
    <t>地上乱摆线</t>
  </si>
  <si>
    <t>电缆沿地面明敷且无有效保护</t>
  </si>
  <si>
    <t>检查电缆敷设方式是否符合要求：应采用埋地或架空敷设，并应避免机械损伤和介质腐蚀</t>
  </si>
  <si>
    <t>F06 电缆敷设与损伤</t>
  </si>
  <si>
    <t>B：路径分割+地面关系</t>
  </si>
  <si>
    <t>power_cable；ground_surface；cable_bridge；cable_trench；overhead_support；cable_protector</t>
  </si>
  <si>
    <t>不要把短暂落地的工具线与长期敷设混为一类</t>
  </si>
  <si>
    <t>检测电缆路径，判断其是否长距离贴地且未处于桥架、沟槽或防护槽内</t>
  </si>
  <si>
    <t>电缆全路径分段ROI</t>
  </si>
  <si>
    <t>核验是否为供电电缆、是否存在有效机械保护或只是视觉交叠</t>
  </si>
  <si>
    <t>需要覆盖足够路径；局部照片不能确认整体敷设方式</t>
  </si>
  <si>
    <t>与第70条共享电缆路径和保护物对象</t>
  </si>
  <si>
    <t>《建筑与市政工程施工现场临时用电安全技术标准》JGJ/T46-2024第6.2.3条</t>
  </si>
  <si>
    <t>电缆绝缘层破损、老化，接头未做绝缘处理</t>
  </si>
  <si>
    <t>电缆绝缘层破损/老化；接头绝缘处理异常</t>
  </si>
  <si>
    <t>沿线路检查电缆外观有无破损、老化；检查橡皮护套铜芯软电缆有无接头</t>
  </si>
  <si>
    <t>B：细粒度缺陷+VLM</t>
  </si>
  <si>
    <t>power_cable；cable_damage；exposed_conductor；cable_joint；insulation_tape</t>
  </si>
  <si>
    <t>不要将污渍、反光直接标为破损</t>
  </si>
  <si>
    <t>检测电缆后对高分辨率局部段检查裂纹、裸露、非规范接头</t>
  </si>
  <si>
    <t>电缆缺陷近景ROI</t>
  </si>
  <si>
    <t>核验外皮破损、铜芯外露、老化龟裂、接头处理是否清晰可见</t>
  </si>
  <si>
    <t>需要抵近拍摄；电气绝缘性能仍需测试</t>
  </si>
  <si>
    <t>与第70条损伤子状态合并对象模型</t>
  </si>
  <si>
    <t>《建筑与市政工程施工现场临时用电安全技术标准》JGJ/T46-2024第7.1.4条第2款</t>
  </si>
  <si>
    <t>灯具金属外壳未做保护接地连接</t>
  </si>
  <si>
    <t>灯具外壳有没有黄绿线</t>
  </si>
  <si>
    <t>灯具金属外壳PE保护连接缺失候选</t>
  </si>
  <si>
    <t>塔吊灯、基坑边照明</t>
  </si>
  <si>
    <t>检查现场照明灯具金属外壳是否与PE线可靠连接</t>
  </si>
  <si>
    <t>D：近景连接检查+电气确认</t>
  </si>
  <si>
    <t>metal_lamp；pe_conductor；grounding_terminal</t>
  </si>
  <si>
    <t>不要只凭未见黄绿线判缺失</t>
  </si>
  <si>
    <t>灯具金属外壳和接线端清晰可见时检查PE导体连接</t>
  </si>
  <si>
    <t>灯具外壳接地端子及导线去向近景</t>
  </si>
  <si>
    <t>核验黄绿导体是否连接到金属外壳端子、是否明显脱落</t>
  </si>
  <si>
    <t>真实导通和接地有效性需电工测试</t>
  </si>
  <si>
    <t>并入PE接地对象族；场景对象为灯具</t>
  </si>
  <si>
    <t>洞口、塔吊</t>
  </si>
  <si>
    <t>《建筑与市政工程施工现场临时用电安全技术标准》JGJ/T46-2024第3.2.12条第1款</t>
  </si>
  <si>
    <t>配电室未配置可用于扑灭电气火灾的消防器材</t>
  </si>
  <si>
    <t>配电室/一级配电设施缺少适用电气火灾灭火器材</t>
  </si>
  <si>
    <t>全场区Ⅰ级配电箱</t>
  </si>
  <si>
    <t>检查配电室是否配置砂箱和可用于扑灭电气火灾的消防器材</t>
  </si>
  <si>
    <t>F10 动火与消防配置</t>
  </si>
  <si>
    <t>B/D：区域清单+消防对象关系</t>
  </si>
  <si>
    <t>distribution_room；main_distribution_box；fire_extinguisher；sand_box</t>
  </si>
  <si>
    <t>不要在普通配电箱旁一律要求砂箱；不把未入镜等同缺失</t>
  </si>
  <si>
    <t>先确认配电室或项目配置的一级配电设施ROI，再检查指定消防器材存在性</t>
  </si>
  <si>
    <t>配电室整体及消防器材布置区</t>
  </si>
  <si>
    <t>核验器材类型、可见性、是否明显被遮挡/挪用</t>
  </si>
  <si>
    <t>配置种类和数量读取项目消防配置；未覆盖全室时复核</t>
  </si>
  <si>
    <t>与第54、56、72共享消防器材检测，适用场景不同</t>
  </si>
  <si>
    <t xml:space="preserve"> 《建筑与市政工程施工现场临时用电安全技术标准》JGJ/T46-2024第5.1.4条第10款</t>
  </si>
  <si>
    <t>配电箱设置在低洼易积水处，或箱体周围排水不畅</t>
  </si>
  <si>
    <t>配电箱处于积水/低洼排水异常环境</t>
  </si>
  <si>
    <t>检查配电箱安装位置是否避开潮气、液体浸溅及积水场所</t>
  </si>
  <si>
    <t>B/C：电箱—水体关系+时序</t>
  </si>
  <si>
    <t>distribution_box；standing_water；low_lying_area；drainage_channel</t>
  </si>
  <si>
    <t>不要把湿地面反光自动判积水</t>
  </si>
  <si>
    <t>检测电箱和周边水体，检查水体是否接近箱体基础/线缆入口，雨后持续积水触发</t>
  </si>
  <si>
    <t>电箱基础及周边排水ROI</t>
  </si>
  <si>
    <t>核验是否真实积水、是否存在液体浸溅风险</t>
  </si>
  <si>
    <t>‘低洼易积水’最好用固定机位历史和雨后数据确认</t>
  </si>
  <si>
    <t>与第18、51、64共享积水排水识别</t>
  </si>
  <si>
    <t>《建筑与市政工程施工现场临时用电安全技术标准》JGJ/T46-2024第4.1.4条</t>
  </si>
  <si>
    <t>用拖线板、花线代替专用开关箱取电</t>
  </si>
  <si>
    <t>拖线板都不行、大部分只能电箱</t>
  </si>
  <si>
    <t>使用拖线板/花线绕过专用开关箱取电</t>
  </si>
  <si>
    <t>检查各用电设备是否从开关箱取电</t>
  </si>
  <si>
    <t>B/D：取电拓扑+VLM</t>
  </si>
  <si>
    <t>power_strip；twisted_wire；switch_box；powered_equipment；plug；power_cable</t>
  </si>
  <si>
    <t>不要把所有插线板在非施工场景一律判隐患</t>
  </si>
  <si>
    <t>施工设备正在使用且电源路径接入拖线板/花线、未经过专用开关箱</t>
  </si>
  <si>
    <t>设备—插头—拖线板—电源路径关系区</t>
  </si>
  <si>
    <t>核验是否为拖线板/花线、是否正在供电、是否有专用开关箱上下文</t>
  </si>
  <si>
    <t>完整取电路径常超出单帧；必要时多图/视频或人工确认</t>
  </si>
  <si>
    <t>与第29条共用供电拓扑</t>
  </si>
  <si>
    <t>JGJ46-2005 第8.1.3条</t>
  </si>
  <si>
    <t>模板工程</t>
  </si>
  <si>
    <t>模板支撑立杆底部未设垫板或底座</t>
  </si>
  <si>
    <t>模板支撑立杆底座/垫板缺失</t>
  </si>
  <si>
    <t>保障房、写字楼及全场区地下室</t>
  </si>
  <si>
    <t>检查支撑立杆底部是否有底座或垫木</t>
  </si>
  <si>
    <t>F07 支撑体系构造</t>
  </si>
  <si>
    <t>B：底部节点关系</t>
  </si>
  <si>
    <t>formwork_prop；base_plate；sole_board；floor_surface</t>
  </si>
  <si>
    <t>不把看不到的底座自动判缺失</t>
  </si>
  <si>
    <t>识别模板支撑立杆底端，逐节点检查底座/垫板及接触状态</t>
  </si>
  <si>
    <t>立杆底部节点近景</t>
  </si>
  <si>
    <t>核验底座/垫板是否真实存在、是否被遮挡</t>
  </si>
  <si>
    <t>基础承载和垫板规格需方案/尺量</t>
  </si>
  <si>
    <t>与第17条共享底座/垫板对象，由scaffold/formwork上下文区分</t>
  </si>
  <si>
    <t>JGJ162-2008 第6.1.9条</t>
  </si>
  <si>
    <t>支撑立杆自由端高度超过500mm</t>
  </si>
  <si>
    <t>类似杆子上的螺丝钉，算整根长度</t>
  </si>
  <si>
    <t>模板支撑立杆自由端过长</t>
  </si>
  <si>
    <t>用尺量测顶托顶部至最上层水平杆距离</t>
  </si>
  <si>
    <t>D：结构节点+尺度配置</t>
  </si>
  <si>
    <t>formwork_prop；top_horizontal_member；free_end_segment；u_head_jack</t>
  </si>
  <si>
    <t>不把‘超过500mm’训练成物体类别</t>
  </si>
  <si>
    <t>识别最上层水平杆与顶托/立杆顶部，计算自由端相对长度</t>
  </si>
  <si>
    <t>立杆顶部节点ROI</t>
  </si>
  <si>
    <t>核验最上层水平杆位置和自由端边界是否识别正确</t>
  </si>
  <si>
    <t>精确阈值需标定/已知杆件尺度；先输出疑似</t>
  </si>
  <si>
    <t>与第42条都测顶部，但起止点不同，不应合并结论</t>
  </si>
  <si>
    <t>识别500mm
常见、重点</t>
  </si>
  <si>
    <t>支撑体系缺少水平拉杆和剪刀撑</t>
  </si>
  <si>
    <t>模板支撑体系水平拉杆/剪刀撑缺失或不完整</t>
  </si>
  <si>
    <t>检查水平杆步距及剪刀撑设置是否完整</t>
  </si>
  <si>
    <t>B/D：结构图+项目条件</t>
  </si>
  <si>
    <t>formwork_support_system；horizontal_brace；diagonal_brace</t>
  </si>
  <si>
    <t>不要将脚手架剪刀撑与模板支撑剪刀撑混标</t>
  </si>
  <si>
    <t>确认模板支撑体系，按项目高度/方案启用规则，检查水平杆网络和斜撑覆盖</t>
  </si>
  <si>
    <t>支撑体系整体立面/空间单元</t>
  </si>
  <si>
    <t>核验杆件类型、连续性、遮挡和高度条件是否可判</t>
  </si>
  <si>
    <t>批注明确低于特定高度可能不适用，必须由项目参数控制not_applicable</t>
  </si>
  <si>
    <t>与第15条共享斜杆视觉特征，但训练场景/类别建议分开</t>
  </si>
  <si>
    <t>如果是高度低于5m则不必要设</t>
  </si>
  <si>
    <t>JGJ162-2008 第6.1.8条</t>
  </si>
  <si>
    <t>可调顶托伸出长度超过300mm</t>
  </si>
  <si>
    <t>可调顶托伸出长度过长</t>
  </si>
  <si>
    <t>用尺量测顶托螺杆伸出立杆长度是否≤300mm</t>
  </si>
  <si>
    <t>D：节点测量+尺度配置</t>
  </si>
  <si>
    <t>u_head_jack；support_prop_top；screw_extension</t>
  </si>
  <si>
    <t>不训练‘超过300mm’类别</t>
  </si>
  <si>
    <t>识别顶托螺杆从立杆顶部到托板的可见伸出段并估算比例/长度</t>
  </si>
  <si>
    <t>每个顶托近景ROI</t>
  </si>
  <si>
    <t>核验螺杆起止点、遮挡和透视</t>
  </si>
  <si>
    <t>精确长度需尺度/尺量；当前规则留阈值参数</t>
  </si>
  <si>
    <t>与第40条共享顶部节点检测但保留独立测量定义</t>
  </si>
  <si>
    <t>梁底支撑未独立设置立杆或立杆偏心受力</t>
  </si>
  <si>
    <t>梁底缺少独立支撑立杆；立杆偏心受力</t>
  </si>
  <si>
    <t>检查梁底是否有独立立杆支撑，是否居中受力</t>
  </si>
  <si>
    <t>B/D：梁—立杆受力关系</t>
  </si>
  <si>
    <t>beam_bottom；formwork_prop；u_head_jack；load_centerline</t>
  </si>
  <si>
    <t>不要把轻微透视偏移直接判偏心</t>
  </si>
  <si>
    <t>识别梁底轴线、立杆和顶托，检查是否有独立支撑及支承中心相对关系</t>
  </si>
  <si>
    <t>梁底与下方立杆节点ROI</t>
  </si>
  <si>
    <t>核验梁底、支撑接触点、明显偏心/斜撑情况</t>
  </si>
  <si>
    <t>真实受力与允许偏心需方案和结构人员确认</t>
  </si>
  <si>
    <t>建议拆为‘独立支撑缺失’和‘偏心受力候选’两个状态</t>
  </si>
  <si>
    <t>JGJ162-2008 第6.2.2条</t>
  </si>
  <si>
    <t>模板支撑架与脚手架体系连接</t>
  </si>
  <si>
    <t>模板支撑架与外脚手架发生连接</t>
  </si>
  <si>
    <t>检查支撑架与脚手架是否分开搭设、无连接</t>
  </si>
  <si>
    <t>B：两体系关系图+VLM</t>
  </si>
  <si>
    <t>formwork_support_system；external_scaffold；connecting_member</t>
  </si>
  <si>
    <t>不要把画面重叠误判为实体连接</t>
  </si>
  <si>
    <t>同时检测两个体系，候选杆件跨越体系边界且连接点可见时触发</t>
  </si>
  <si>
    <t>两体系交界及连接节点近景</t>
  </si>
  <si>
    <t>核验杆件是否真实连接、搭接或仅透视重叠</t>
  </si>
  <si>
    <t>连接点被网/模板遮挡时review_required</t>
  </si>
  <si>
    <t>独立规则；复用杆件和连接点基础检测</t>
  </si>
  <si>
    <t>JGJ162-2008 第6.1.4条</t>
  </si>
  <si>
    <t>模板支撑立杆缺失着力点（悬空或浮搁）</t>
  </si>
  <si>
    <t>模板支撑立杆悬空/浮搁/无可靠着力点</t>
  </si>
  <si>
    <t>检查每根立杆底部是否受力传导至可靠基础</t>
  </si>
  <si>
    <t>B：底部接触关系+VLM</t>
  </si>
  <si>
    <t>formwork_prop；floor_surface；support_block；gap_region</t>
  </si>
  <si>
    <t>不在悬空间隙画‘着力点’框</t>
  </si>
  <si>
    <t>识别立杆底端与支承面，检查接触、垫块和明显空隙</t>
  </si>
  <si>
    <t>立杆脚与地面接触节点</t>
  </si>
  <si>
    <t>核验是否真实接触、是否仅被阴影遮挡、垫块是否明显不稳</t>
  </si>
  <si>
    <t>受力可靠性需人工确认；清晰悬空可输出疑似隐患</t>
  </si>
  <si>
    <t>与第39条共享立杆底部ROI，但结论为接触状态</t>
  </si>
  <si>
    <t>JGJ162-2008 第6.1.2条</t>
  </si>
  <si>
    <t>模板拆除时未设警戒区</t>
  </si>
  <si>
    <t>模板拆除作业未设置警戒区</t>
  </si>
  <si>
    <t>检查拆模区域是否拉设警戒带并有人值守</t>
  </si>
  <si>
    <t>C：作业事件+区域隔离+时序</t>
  </si>
  <si>
    <t>person；formwork_removal_activity；caution_tape；barrier；warning_sign；watcher_person</t>
  </si>
  <si>
    <t>不要把普通施工区无警戒带一律判隐患</t>
  </si>
  <si>
    <t>识别正在拆模事件后，在落物/作业影响区生成警戒检查区</t>
  </si>
  <si>
    <t>拆模点周边和下方区域</t>
  </si>
  <si>
    <t>核验是否正在拆模、警戒带/围挡是否有效、是否有人进入</t>
  </si>
  <si>
    <t>监护人员身份需胸牌/岗位配置或人工；单帧作业状态不明时复核</t>
  </si>
  <si>
    <t>与第61、71条共享警戒隔离对象和规则骨架</t>
  </si>
  <si>
    <t>判断警戒区</t>
  </si>
  <si>
    <t>JGJ162-2008 第8.0.5条</t>
  </si>
  <si>
    <t>起重机械</t>
  </si>
  <si>
    <t>使用塔吊吊运散料时未使用专用吊斗
塔吊吊物绑扎不牢、散料未使用吊斗</t>
  </si>
  <si>
    <t>散料吊运未使用专用吊斗；吊物绑扎不牢候选</t>
  </si>
  <si>
    <t>1、2、3、4#塔吊</t>
  </si>
  <si>
    <t>检查砖、砌块等散料是否使用吊斗吊运</t>
  </si>
  <si>
    <t>F09 吊装与起重装置</t>
  </si>
  <si>
    <t>C：视频吊装关系+VLM</t>
  </si>
  <si>
    <t>crane_hook；suspended_load；loose_material；lifting_bucket；sling；binding_point</t>
  </si>
  <si>
    <t>不要把所有散装外观物体直接判绑扎不牢</t>
  </si>
  <si>
    <t>检测吊物离地/悬吊事件；散料无吊斗或绑扎明显松散、偏载时触发</t>
  </si>
  <si>
    <t>吊钩—吊具—吊物完整关系区</t>
  </si>
  <si>
    <t>核验物料类型、是否使用合适容器、绑扎是否明显松脱/偏斜</t>
  </si>
  <si>
    <t>绑扎强度和荷载需司索/人工确认；源标签应拆成两个结论</t>
  </si>
  <si>
    <t>重要拆分项；共享同一吊装事件检测</t>
  </si>
  <si>
    <t>塔吊十不吊</t>
  </si>
  <si>
    <t>JGJ196-2010 第5.3.5条</t>
  </si>
  <si>
    <t>卸料平台钢丝绳附绳未拉直</t>
  </si>
  <si>
    <t>卸料平台钢丝绳附绳松弛/未受力</t>
  </si>
  <si>
    <t>目视检查卸料平台两侧钢丝绳是否拉紧</t>
  </si>
  <si>
    <t>B/C：线形几何+时序</t>
  </si>
  <si>
    <t>unloading_platform；main_wire_rope；secondary_wire_rope；anchor_point</t>
  </si>
  <si>
    <t>不要将所有弯曲钢丝绳直接判未拉直</t>
  </si>
  <si>
    <t>识别卸料平台、主副绳及锚点，比较绳线形、连续性和受力状态，多帧确认</t>
  </si>
  <si>
    <t>平台两侧钢丝绳全路径ROI</t>
  </si>
  <si>
    <t>核验附绳身份、是否明显松弛、遮挡或透视弯曲</t>
  </si>
  <si>
    <t>真实受力和张力需人工/传感器；视觉只给疑似</t>
  </si>
  <si>
    <t>并入吊装/钢丝绳部件族</t>
  </si>
  <si>
    <t>JGJ130-2011 第6.10.4条</t>
  </si>
  <si>
    <t>吊钩防脱钩保险装置缺失或损坏</t>
  </si>
  <si>
    <t>吊钩防脱保险装置缺失/损坏/未闭合</t>
  </si>
  <si>
    <t>目视检查吊钩保险片是否完好有效</t>
  </si>
  <si>
    <t>B：小部件检测+VLM</t>
  </si>
  <si>
    <t>crane_hook；hook_safety_latch</t>
  </si>
  <si>
    <t>不在吊钩开口处画缺失保险片框</t>
  </si>
  <si>
    <t>检测吊钩后裁剪开口，检查保险片是否存在、闭合和完整</t>
  </si>
  <si>
    <t>吊钩开口高分辨率近景</t>
  </si>
  <si>
    <t>核验保险片身份、闭合状态、破损/变形</t>
  </si>
  <si>
    <t>远景或运动模糊必须复核；宜使用抵近照片</t>
  </si>
  <si>
    <t>与第50条同为起重关键小部件，但对象独立</t>
  </si>
  <si>
    <t>JGJ196-2010 第3.4.6条</t>
  </si>
  <si>
    <t>钢丝绳缺少防跳绳装置（滑轮处）</t>
  </si>
  <si>
    <t>滑轮处钢丝绳防跳装置缺失/损坏</t>
  </si>
  <si>
    <t>检查卷筒和滑轮处是否设置防跳绳装置</t>
  </si>
  <si>
    <t>B：小部件关系+VLM</t>
  </si>
  <si>
    <t>pulley；wire_rope；rope_retainer/anti_jump_guard</t>
  </si>
  <si>
    <t>不在滑轮空处画缺失装置框</t>
  </si>
  <si>
    <t>检测滑轮与钢丝绳后检查槽口外侧防跳装置存在及位置关系</t>
  </si>
  <si>
    <t>滑轮槽口近景ROI</t>
  </si>
  <si>
    <t>核验防跳装置是否真实存在、完整并覆盖可能跳绳方向</t>
  </si>
  <si>
    <t>需要近景；功能有效性仍需设备检查</t>
  </si>
  <si>
    <t>与第49条共享关键部件近景采集规范</t>
  </si>
  <si>
    <t>塔吊基础积水未及时排除</t>
  </si>
  <si>
    <t>塔吊基础积水/排水异常</t>
  </si>
  <si>
    <t>检查塔吊基础周围排水情况和积水深度</t>
  </si>
  <si>
    <t>B/C：基础ROI+积水时序</t>
  </si>
  <si>
    <t>tower_crane_base；standing_water；drainage_channel</t>
  </si>
  <si>
    <t>不要把雨后短时湿润直接判未及时排除</t>
  </si>
  <si>
    <t>固定/移动图像定位塔吊基础，检测积水面积及持续时间</t>
  </si>
  <si>
    <t>塔吊基础及排水周边</t>
  </si>
  <si>
    <t>核验真实水体、是否浸泡关键构件/基础</t>
  </si>
  <si>
    <t>‘未及时’必须有时序阈值；排水能力需现场确认</t>
  </si>
  <si>
    <t>与第18、37、64条共用积水时序模块</t>
  </si>
  <si>
    <t>JGJ196-2010 第3.1.6条</t>
  </si>
  <si>
    <t>施工机具</t>
  </si>
  <si>
    <t>钢筋加工机械传动部位未设防护罩</t>
  </si>
  <si>
    <t>钢筋加工机械传动部位防护罩缺失/开启/损坏</t>
  </si>
  <si>
    <t>1、2#钢筋场</t>
  </si>
  <si>
    <t>检查弯曲机、切断机等设备的传动部位防护</t>
  </si>
  <si>
    <t>B：设备—危险部位—护罩关系</t>
  </si>
  <si>
    <t>rebar_machine；transmission_part；machine_guard</t>
  </si>
  <si>
    <t>不在未见护罩处画machine_guard；不要把整机外壳当护罩</t>
  </si>
  <si>
    <t>识别机型和传动危险部位后检查护罩是否存在、闭合和完整</t>
  </si>
  <si>
    <t>传动部位近景ROI</t>
  </si>
  <si>
    <t>核验是否为传动部位、护罩是否有效覆盖、是否被拆开</t>
  </si>
  <si>
    <t>机型差异大，应按设备类型建立关键部位模板</t>
  </si>
  <si>
    <t>可复用到切割机、弯曲机等多个机型，保留设备子类型</t>
  </si>
  <si>
    <t>钢筋加工机械未搭设防雨防砸防护棚</t>
  </si>
  <si>
    <t>钢筋加工机必须防雨、防砸</t>
  </si>
  <si>
    <t>钢筋加工区缺少防雨防砸防护棚</t>
  </si>
  <si>
    <t>检查加工区是否有防护棚</t>
  </si>
  <si>
    <t>B/D：设备区域—防护棚关系</t>
  </si>
  <si>
    <t>rebar_machine；rebar_processing_zone；protective_canopy</t>
  </si>
  <si>
    <t>不把普通屋顶未经场景确认当防护棚</t>
  </si>
  <si>
    <t>检测钢筋加工设备/区域后检查上方和周边是否有连续防护棚</t>
  </si>
  <si>
    <t>加工设备上方整体区域</t>
  </si>
  <si>
    <t>核验是否为有效防雨防砸棚、是否明显破损/覆盖不足</t>
  </si>
  <si>
    <t>结构强度和防砸等级需资料/人工；视觉判断存在与覆盖</t>
  </si>
  <si>
    <t>与第27条共享棚体检测，但规则对象不同</t>
  </si>
  <si>
    <t>消防安全</t>
  </si>
  <si>
    <t>电焊作业未配备灭火器材</t>
  </si>
  <si>
    <t>电焊作业点未配置灭火器材</t>
  </si>
  <si>
    <t>动火作业点</t>
  </si>
  <si>
    <t>检查动火点周围是否配置灭火器及接火盆</t>
  </si>
  <si>
    <t>B：动火事件—消防器材关系</t>
  </si>
  <si>
    <t>welding_arc；welder_person；fire_extinguisher；fire_blanket；fire_pan</t>
  </si>
  <si>
    <t>不要在未拍到的画外区域直接判缺失</t>
  </si>
  <si>
    <t>识别正在电焊作业后，在项目配置的动火检查区内搜索适用灭火器材</t>
  </si>
  <si>
    <t>动火点周边消防检查区</t>
  </si>
  <si>
    <t>核验是否为电焊事件、器材是否可取用且未被遮挡</t>
  </si>
  <si>
    <t>具体距离后续配置；视野不覆盖整个检查区时review_required</t>
  </si>
  <si>
    <t>与第72条重叠，建议第54作为‘灭火器材缺失’原子子项</t>
  </si>
  <si>
    <t>3m范围内未配备</t>
  </si>
  <si>
    <t>GB50720-2011 第6.3.1条</t>
  </si>
  <si>
    <t>消防灭火器材压力不足或指针在红区</t>
  </si>
  <si>
    <t>绿色正常</t>
  </si>
  <si>
    <t>灭火器压力表指针异常/不可读</t>
  </si>
  <si>
    <t>全场区灭火器</t>
  </si>
  <si>
    <t>检查灭火器压力表指针是否在绿区</t>
  </si>
  <si>
    <t>B：仪表定位+OCR/VLM</t>
  </si>
  <si>
    <t>fire_extinguisher；pressure_gauge；gauge_pointer；color_zone</t>
  </si>
  <si>
    <t>不要用整瓶远景判断压力</t>
  </si>
  <si>
    <t>检测灭火器后仅对清晰压力表近景读取指针和色区关系</t>
  </si>
  <si>
    <t>压力表高分辨率ROI</t>
  </si>
  <si>
    <t>核验指针是否位于正常色区、玻璃反光是否影响读取</t>
  </si>
  <si>
    <t>必须抵近拍摄；模糊、反光或表盘制式未知时review_required</t>
  </si>
  <si>
    <t>独立细粒度检查，不与器材数量混合</t>
  </si>
  <si>
    <t>抵近拍摄</t>
  </si>
  <si>
    <t>GB50720-2011 第5.2.1条</t>
  </si>
  <si>
    <t>消防灭火器材配置数量不足</t>
  </si>
  <si>
    <t>一堆木材、配电箱、动火作业旁边都必须</t>
  </si>
  <si>
    <t>消防风险点灭火器材数量/配置不足候选</t>
  </si>
  <si>
    <t>各楼栋公区、全场区材料堆场</t>
  </si>
  <si>
    <t>核对现场灭火器配置数量是否满足规范要求</t>
  </si>
  <si>
    <t>D：风险点配置表+对象计数</t>
  </si>
  <si>
    <t>fire_extinguisher；combustible_material_stack；distribution_box；hot_work_activity；fire_point_roi</t>
  </si>
  <si>
    <t>不要将‘只有一瓶’硬编码为所有场景通用隐患</t>
  </si>
  <si>
    <t>识别风险点并读取项目消防配置表，统计可见、可用灭火器及覆盖关系</t>
  </si>
  <si>
    <t>风险点周边器材布置区</t>
  </si>
  <si>
    <t>核验对象是否真为灭火器、是否被遮挡/挪用、是否可取用</t>
  </si>
  <si>
    <t>数量和类型必须按场景、面积和项目配置；单图视野不全时复核</t>
  </si>
  <si>
    <t>与第36、54、72共用灭火器检测，规则参数化避免重复</t>
  </si>
  <si>
    <t>主要识别：不能单瓶存在</t>
  </si>
  <si>
    <t>消防栓损坏，无法正常使用</t>
  </si>
  <si>
    <t>消防栓箱及组件外观损坏/缺失候选</t>
  </si>
  <si>
    <t>检查消防栓箱体、阀门、水带是否完好</t>
  </si>
  <si>
    <t>B/D：组件完整性+功能外部核验</t>
  </si>
  <si>
    <t>fire_hydrant_box；hydrant_valve；fire_hose；nozzle；box_door；damage_region</t>
  </si>
  <si>
    <t>不要从外观完好推断可正常出水</t>
  </si>
  <si>
    <t>检测消防栓箱并分解检查箱体、阀门、水带、水枪和门</t>
  </si>
  <si>
    <t>消防栓箱整体+组件近景</t>
  </si>
  <si>
    <t>核验明显破损、缺件、锈蚀、门无法闭合迹象</t>
  </si>
  <si>
    <t>‘无法正常使用’需通水/压力试验；视觉仅判外观异常候选</t>
  </si>
  <si>
    <t>与消防器材对象词表共享，但规则独立</t>
  </si>
  <si>
    <t>外观判定</t>
  </si>
  <si>
    <t>GB50720-2011 第5.3.10条</t>
  </si>
  <si>
    <t>施工现场易燃垃圾、木屑等易燃物未及时清理</t>
  </si>
  <si>
    <t>施工区域可燃垃圾/木屑积聚未清理</t>
  </si>
  <si>
    <t>目视检查施工区域及周边易燃物</t>
  </si>
  <si>
    <t>B/C：可燃物分割+时序</t>
  </si>
  <si>
    <t>combustible_waste；wood_shavings；wood_scrap；work_area</t>
  </si>
  <si>
    <t>不要把正常周转木材与垃圾未经区分一律判隐患</t>
  </si>
  <si>
    <t>检测散乱可燃废料位于作业/动火/疏散区域，持续存在或明显积聚触发</t>
  </si>
  <si>
    <t>可燃废料堆及周边环境</t>
  </si>
  <si>
    <t>核验是否为废弃物、是否散乱积聚、是否靠近火源/通道</t>
  </si>
  <si>
    <t>‘未及时清理’需要时序；材料用途不明时复核</t>
  </si>
  <si>
    <t>与第56条共享可燃物风险点，结论分别记录</t>
  </si>
  <si>
    <t>GB50720-2011 第6.2.2条</t>
  </si>
  <si>
    <t>高处动火未设置接火斗</t>
  </si>
  <si>
    <t>防止火花下落</t>
  </si>
  <si>
    <t>高处动火作业未设置接火斗/接火措施</t>
  </si>
  <si>
    <t>全场区动火点</t>
  </si>
  <si>
    <t>施工现场存在高处作业动火时，检查动火点下方是否设置接火斗</t>
  </si>
  <si>
    <t>B/C：动火高度+落火区关系</t>
  </si>
  <si>
    <t>hot_work_activity；spark；elevated_work_zone；fire_pan；fire_blanket</t>
  </si>
  <si>
    <t>不把地面动火误用该规则；不画缺失接火斗框</t>
  </si>
  <si>
    <t>识别高处动火和火花落下方向，在动火点下方生成落火检查区</t>
  </si>
  <si>
    <t>动火点下方垂直投影/火花落区</t>
  </si>
  <si>
    <t>核验是否有有效接火斗/阻燃接火措施，是否明显偏离落火路径</t>
  </si>
  <si>
    <t>高度和落火范围先参数化；火花不可见但作业明确时仍可检查</t>
  </si>
  <si>
    <t>与第72条合并为动火防火措施子规则</t>
  </si>
  <si>
    <t>《建设工程施工现场消防安全技术标准》GB/T 50720-2011 第6.3.1条规定</t>
  </si>
  <si>
    <t>有限空间</t>
  </si>
  <si>
    <t>作业人员未佩戴呼吸器、安全带等防护用品</t>
  </si>
  <si>
    <t>有限空间作业人员呼吸防护/安全带缺失</t>
  </si>
  <si>
    <t>电梯井、肥槽、集水井等有限空间作业点</t>
  </si>
  <si>
    <t>现场检查防护用品配置、完好情况，查看作业人员佩戴情况</t>
  </si>
  <si>
    <t>B：场景+PPE关系</t>
  </si>
  <si>
    <t>confined_space_entry；person；respirator；safety_harness；lifeline</t>
  </si>
  <si>
    <t>不要将站在井口附近的普通人员自动视为有限空间作业者</t>
  </si>
  <si>
    <t>有限空间作业任务启用且人员进入/准备进入井口，再检查呼吸器、安全带和生命绳</t>
  </si>
  <si>
    <t>人员全身+井口/入口上下文</t>
  </si>
  <si>
    <t>核验作业状态、PPE是否正确穿戴、绳带是否连接</t>
  </si>
  <si>
    <t>气体检测、通风和PPE性能不在单图可判范围</t>
  </si>
  <si>
    <t>与第1、2条共享PPE关系模型，场景前置条件不同</t>
  </si>
  <si>
    <t>GB 30871‑2022《危险化学品企业特殊作业安全规范》6.3 个体防护要求</t>
  </si>
  <si>
    <t>有限空间作业未设置警示标识、围挡</t>
  </si>
  <si>
    <t>有限空间作业点警示标识/围挡缺失</t>
  </si>
  <si>
    <t>有限空间井口、洞口周边</t>
  </si>
  <si>
    <t>现场查看洞口周边围挡、警示标牌设置情况</t>
  </si>
  <si>
    <t>B：入口—隔离设施关系</t>
  </si>
  <si>
    <t>confined_space_entry；warning_sign；barrier；caution_tape</t>
  </si>
  <si>
    <t>不在无设施处画虚拟围挡框</t>
  </si>
  <si>
    <t>识别有限空间井口/入口且作业任务启用，检查周边警示和隔离设施</t>
  </si>
  <si>
    <t>入口周边环形警戒检查区</t>
  </si>
  <si>
    <t>核验是否为有限空间入口、围挡是否连续、标识是否可读/明确</t>
  </si>
  <si>
    <t>是否正在作业最好接入作业票或视频状态；画面不全则复核</t>
  </si>
  <si>
    <t>与第46、71条共用警戒隔离对象</t>
  </si>
  <si>
    <t>GB 30871‑2022《危险化学品企业特殊作业安全规范》6.5 现场警示要求</t>
  </si>
  <si>
    <t>交通安全</t>
  </si>
  <si>
    <t>场内车辆超速行驶，场内未设置限速标识</t>
  </si>
  <si>
    <t>场内车辆超速；道路缺少限速标识</t>
  </si>
  <si>
    <t>施工现场场内道路</t>
  </si>
  <si>
    <t>现场查看限速警示标牌；现场观测车辆行驶速度；查看场内监控记录</t>
  </si>
  <si>
    <t>F13 交通与道路设施</t>
  </si>
  <si>
    <t>C/D：视频估速+道路设施检查</t>
  </si>
  <si>
    <t>vehicle；site_road；speed_limit_sign；lane_roi</t>
  </si>
  <si>
    <t>不要用单张照片判超速；不要把画外无标牌判缺失</t>
  </si>
  <si>
    <t>车辆进入已标定道路ROI时视频跟踪估速；道路配置任务检查限速牌存在与可见性</t>
  </si>
  <si>
    <t>道路轨迹区+限速牌布置点ROI</t>
  </si>
  <si>
    <t>核验标牌是否为限速标识、是否遮挡/损坏</t>
  </si>
  <si>
    <t>必须拆为超速和标识缺失；超速依赖帧率、标定或雷达数据</t>
  </si>
  <si>
    <t>重要拆分项；两个结论共用道路场景但证据不同</t>
  </si>
  <si>
    <t>JGJ/T 490‑2018《建筑施工现场场内机动车使用安全技术规程》</t>
  </si>
  <si>
    <t>场内道路交叉口、转角视线受阻，未设置反光镜、警示标识</t>
  </si>
  <si>
    <t>路口/转角视线受阻；反光镜/警示标识缺失</t>
  </si>
  <si>
    <t>场内道路交叉口、转弯处</t>
  </si>
  <si>
    <t>现场查看转弯、交叉口视线、反光镜、警示标志设置情况</t>
  </si>
  <si>
    <t>B/D：固定路口ROI+设施关系</t>
  </si>
  <si>
    <t>road_intersection；road_turn；visibility_obstruction；convex_mirror；warning_sign</t>
  </si>
  <si>
    <t>不把任意堆物都判为视线受阻</t>
  </si>
  <si>
    <t>由项目地图/固定机位定义路口视域，检测遮挡物侵入；分别检查反光镜和警示标识</t>
  </si>
  <si>
    <t>路口视锥/转角两侧及设施预设点</t>
  </si>
  <si>
    <t>核验场景确为交叉口/转角、遮挡是否影响视线、设施是否有效</t>
  </si>
  <si>
    <t>真实视距需现场测量/三维地图；建议拆为视线受阻和设施缺失</t>
  </si>
  <si>
    <t>与第62条共享道路设施检测，规则任务独立</t>
  </si>
  <si>
    <t>防台防汛</t>
  </si>
  <si>
    <t>施工现场排水管网、排水沟、集水井堵塞，排水不畅</t>
  </si>
  <si>
    <t>排水沟/集水井堵塞、积水和排水不畅候选</t>
  </si>
  <si>
    <t>施工现场基坑周边、场地道路、低洼区域</t>
  </si>
  <si>
    <t>现场实地查看排水沟、集水井；雨季前后检查排水通畅情况；查看清淤维护记录</t>
  </si>
  <si>
    <t>B/C：设施分割+雨后时序</t>
  </si>
  <si>
    <t>drainage_ditch；catch_basin；drain_inlet；blockage；standing_water</t>
  </si>
  <si>
    <t>不要因沟内有少量杂物就直接判排水不畅</t>
  </si>
  <si>
    <t>检测排水设施，检查堵塞物覆盖、入水口状态和雨后水位消退</t>
  </si>
  <si>
    <t>排水通道、井口和周边低洼区</t>
  </si>
  <si>
    <t>核验是否真实堵塞、淤积或长期积水</t>
  </si>
  <si>
    <t>排水能力需雨后时序/维护记录；单图输出外观异常候选</t>
  </si>
  <si>
    <t>与第18、37、51共享积水模块，但对象为排水系统</t>
  </si>
  <si>
    <t>GB51210‑2016《建筑施工脚手架安全技术统一标准》、建筑施工防汛管理相关规范</t>
  </si>
  <si>
    <t>边坡、基坑边坡存在裂缝、渗水</t>
  </si>
  <si>
    <t>边坡/基坑边坡裂缝或渗水异常</t>
  </si>
  <si>
    <t>基坑边坡</t>
  </si>
  <si>
    <t>现场查看边坡有无裂缝、滑移、渗水；查阅汛期监测、巡查记录</t>
  </si>
  <si>
    <t>B/C/D：缺陷分割+时序/监测</t>
  </si>
  <si>
    <t>slope_surface；slope_crack；seepage_wet_area；landslide_trace</t>
  </si>
  <si>
    <t>不要把施工缝、阴影、普通湿色误标裂缝/渗水</t>
  </si>
  <si>
    <t>识别边坡表面后对裂缝和湿润渗水区域进行局部检查，多时点比较变化</t>
  </si>
  <si>
    <t>边坡整体+裂缝/渗水近景ROI</t>
  </si>
  <si>
    <t>核验裂缝真实性、渗水源、滑移迹象及尺度可见性</t>
  </si>
  <si>
    <t>稳定性和裂缝发展需监测/尺量；视觉只提供异常证据</t>
  </si>
  <si>
    <t>并入水/边坡规则族，单独保留高分辨率缺陷标注</t>
  </si>
  <si>
    <t>JGJ120‑2012《建筑基坑支护技术规程》</t>
  </si>
  <si>
    <t>轻型造楼机</t>
  </si>
  <si>
    <t>造楼机竖向支承架杆件变形、裂纹、焊缝开裂</t>
  </si>
  <si>
    <t>造楼机支承杆件变形/裂纹/焊缝开裂</t>
  </si>
  <si>
    <t>造楼机支承架区域</t>
  </si>
  <si>
    <t>目视检查钢构件杆件、焊缝外观，查看有无变形、裂纹、焊缝开裂缺陷</t>
  </si>
  <si>
    <t>B/D：部件定位+高分辨率缺陷核验</t>
  </si>
  <si>
    <t>building_machine_support；steel_member；weld_seam；deformation_region；crack_region</t>
  </si>
  <si>
    <t>不要把阴影/焊渣直接标为裂纹</t>
  </si>
  <si>
    <t>先定位支承架杆件和焊缝，再对局部缺陷进行检测/VLM核验</t>
  </si>
  <si>
    <t>杆件和焊缝近景ROI</t>
  </si>
  <si>
    <t>核验明显弯曲、裂纹、焊缝开裂和反光干扰</t>
  </si>
  <si>
    <t>细裂纹需近景/NDT；承载安全需专业检测</t>
  </si>
  <si>
    <t>与其他设备外观缺陷共用缺陷模型，保留造楼机场景</t>
  </si>
  <si>
    <t>JGJ/T490‑2018第5.3.4条</t>
  </si>
  <si>
    <t>造楼机防坠安全装置失效、未校验、缺失</t>
  </si>
  <si>
    <t>造楼机防坠装置缺失/外观异常；功能失效/未校验</t>
  </si>
  <si>
    <t>造楼机升降机位</t>
  </si>
  <si>
    <t>核对防坠装置校验报告，现场试验检查防坠装置动作有效性</t>
  </si>
  <si>
    <t>F14 资料/试验依赖项</t>
  </si>
  <si>
    <t>D：视觉+报告/试验双通道</t>
  </si>
  <si>
    <t>building_machine；anti_fall_device；device_nameplate；calibration_label</t>
  </si>
  <si>
    <t>不要由装置外观正常推断功能有效或校验合格</t>
  </si>
  <si>
    <t>视觉检查装置存在、连接和明显损坏；OCR读取铭牌/校验标识；后台核对报告和试验</t>
  </si>
  <si>
    <t>升降机位装置近景+铭牌/记录区域</t>
  </si>
  <si>
    <t>核验装置身份、缺失/脱开/破损和标识可读性</t>
  </si>
  <si>
    <t>必须拆成视觉异常与功能/校验状态；后两者依赖外部数据</t>
  </si>
  <si>
    <t>与第9条共用关键装置双通道框架</t>
  </si>
  <si>
    <t>JGJ/T490‑2018第5.5.6条</t>
  </si>
  <si>
    <t>造楼机升降作业时架体上堆放材料、杂物</t>
  </si>
  <si>
    <t>造楼机升降期间平台存在材料/杂物</t>
  </si>
  <si>
    <t>造楼机操作平台</t>
  </si>
  <si>
    <t>目视检查升降作业状态下操作平台堆载情况</t>
  </si>
  <si>
    <t>C：运行状态+平台占用检测</t>
  </si>
  <si>
    <t>building_machine_platform；material_stack；debris；machine_lifting_state</t>
  </si>
  <si>
    <t>不要在设备静止维护时套用升降规则</t>
  </si>
  <si>
    <t>后台/视频确认升降状态后，检查操作平台上材料和杂物占用</t>
  </si>
  <si>
    <t>造楼机操作平台整体ROI</t>
  </si>
  <si>
    <t>核验物体是否为材料/杂物、是否固定或属于设备本体</t>
  </si>
  <si>
    <t>必须有升降状态信号或连续视频；单图难判‘升降作业时’</t>
  </si>
  <si>
    <t>与第10条共用平台堆物识别，但时序前置不同</t>
  </si>
  <si>
    <t>JGJ/T490‑2018第6.2.3条</t>
  </si>
  <si>
    <t>造楼机操作平台防护栏杆、挡脚板缺失、破损</t>
  </si>
  <si>
    <t>造楼机平台护栏/挡脚板缺失、破损</t>
  </si>
  <si>
    <t>造楼机操作平台四周</t>
  </si>
  <si>
    <t>现场检查平台临边防护栏杆高度、挡脚板设置完整性</t>
  </si>
  <si>
    <t>B：平台边界—防护关系</t>
  </si>
  <si>
    <t>building_machine_platform；platform_edge；guardrail；toe_board；damage_region</t>
  </si>
  <si>
    <t>不在缺失处画护栏/挡脚板空气框</t>
  </si>
  <si>
    <t>识别平台外沿后生成检查带，分别检查护栏和挡脚板存在、连续与外观</t>
  </si>
  <si>
    <t>平台周边带状ROI</t>
  </si>
  <si>
    <t>核验构件是否有效、断裂、脱落或被遮挡</t>
  </si>
  <si>
    <t>建议拆成护栏和挡脚板两个子状态，统一聚合为平台临边防护</t>
  </si>
  <si>
    <t>与第22、26条共享防护物模型，场景为造楼机平台</t>
  </si>
  <si>
    <t>JGJ/T490‑2018第5.5.2条</t>
  </si>
  <si>
    <t>造楼机动力电缆破损、拖拽挤压、无防护</t>
  </si>
  <si>
    <t>造楼机动力电缆破损；受拖拽/挤压；敷设无防护</t>
  </si>
  <si>
    <t>造楼机整机电缆敷设路径</t>
  </si>
  <si>
    <t>目视检查电缆外皮，查看电缆有无被挤压、磨损、裸露现象</t>
  </si>
  <si>
    <t>B/C：路径+损伤+运动关系</t>
  </si>
  <si>
    <t>machine_power_cable；cable_damage；pinch_point；moving_part；cable_protector</t>
  </si>
  <si>
    <t>不要将三个状态合成一个YOLO类别</t>
  </si>
  <si>
    <t>沿整机电缆路径分段检测；分别检查外皮损伤、夹点/运动部件关系和防护措施</t>
  </si>
  <si>
    <t>电缆路径、弯折点、运动部件附近ROI</t>
  </si>
  <si>
    <t>核验破损、裸露、受压/拖拽迹象和保护套/拖链是否存在</t>
  </si>
  <si>
    <t>拖拽需视频；电气性能需测试；建议拆成三个原子状态</t>
  </si>
  <si>
    <t>与第33、34条共享电缆模型，增加移动设备关系</t>
  </si>
  <si>
    <t>GB/T50720‑2011《建设工程施工现场消防安全技术标准》7.2.1条、JGJ46‑2005</t>
  </si>
  <si>
    <t>造楼机升降作业下方未设置警戒区域，未安排专人监护</t>
  </si>
  <si>
    <t>造楼机升降作业区未隔离；监护配置无法确认/缺失</t>
  </si>
  <si>
    <t>造楼机作业下方地面</t>
  </si>
  <si>
    <t>检查现场警戒围挡、警示标识，核查监护人员履职情况</t>
  </si>
  <si>
    <t>C/D：运行状态+警戒区+人员角色</t>
  </si>
  <si>
    <t>building_machine_lifting_state；ground_hazard_zone；barrier；caution_tape；warning_sign；person</t>
  </si>
  <si>
    <t>不要仅凭现场有一人就判已安排专人监护</t>
  </si>
  <si>
    <t>确认造楼机正在升降，在下方预设危险ROI检查隔离设施和人员闯入；监护身份由排班/胸牌/系统确认</t>
  </si>
  <si>
    <t>造楼机下方地面危险区</t>
  </si>
  <si>
    <t>核验警戒区是否连续有效、是否有人进入；人员是否明显执行监护动作仅作辅助</t>
  </si>
  <si>
    <t>‘安排专人监护’需作业票/排班或人工，不宜由外观最终判定</t>
  </si>
  <si>
    <t>建议拆为警戒区缺失和监护配置缺失；复用第46、61条隔离规则</t>
  </si>
  <si>
    <t>JGJ/T490‑2018第6.2.2条</t>
  </si>
  <si>
    <t>造楼机操作平台动火作业无防火措施，未配备灭火器材</t>
  </si>
  <si>
    <t>造楼机平台动火防火措施缺失；灭火器材缺失</t>
  </si>
  <si>
    <t>检查动火作业审批、现场灭火器材配置、防火接火斗设置</t>
  </si>
  <si>
    <t>C/D：动火事件+多项防护关系</t>
  </si>
  <si>
    <t>building_machine_platform；hot_work_activity；fire_extinguisher；fire_pan；fire_blanket；combustible_material</t>
  </si>
  <si>
    <t>不要将所有防火措施合成一个YOLO类别</t>
  </si>
  <si>
    <t>识别平台动火后分别检查接火、可燃物隔离和灭火器材配置</t>
  </si>
  <si>
    <t>平台动火点周边及下方落火区</t>
  </si>
  <si>
    <t>核验动火状态、接火/阻燃措施和器材是否可用</t>
  </si>
  <si>
    <t>动火审批和器材数量需后台配置；建议拆成防火措施、灭火器材两个原子结果</t>
  </si>
  <si>
    <t>与第54、59条合并为统一动火规则服务，增加造楼机场景前置</t>
  </si>
  <si>
    <t>GB/T50720‑2011第6.3.1条</t>
  </si>
  <si>
    <t>可复用规则族：减少72条规则的重复实现</t>
  </si>
  <si>
    <t>规则族ID</t>
  </si>
  <si>
    <t>规则族名称</t>
  </si>
  <si>
    <t>核心原理</t>
  </si>
  <si>
    <t>触发前置</t>
  </si>
  <si>
    <t>典型检查区</t>
  </si>
  <si>
    <t>默认判定边界</t>
  </si>
  <si>
    <t>关联原序号</t>
  </si>
  <si>
    <t>F01</t>
  </si>
  <si>
    <t>先识别人、作业状态与PPE，再判断穿戴/系挂关系</t>
  </si>
  <si>
    <t>人员进入适用作业区或处于指定作业状态</t>
  </si>
  <si>
    <t>人员框、PPE框、作业工具/危险边界</t>
  </si>
  <si>
    <t>关系明确则输出候选；遮挡或作业状态不明则复核</t>
  </si>
  <si>
    <t>1、2、3、4、5、60</t>
  </si>
  <si>
    <t>F02</t>
  </si>
  <si>
    <t>识别材料堆、承载面和危险边界，代码计算相对几何，VLM核验材料与堆放状态</t>
  </si>
  <si>
    <t>检测到材料堆且处于楼层、脚手架、基坑边或设备平台等适用场景</t>
  </si>
  <si>
    <t>材料堆及其支承面/危险边界周边</t>
  </si>
  <si>
    <t>超限需项目参数、尺度或台账；单图仅能给出疑似</t>
  </si>
  <si>
    <t>6、7、8、10、68</t>
  </si>
  <si>
    <t>F03</t>
  </si>
  <si>
    <t>识别脚手架立面和真实构件，按项目方案生成应检节点/带状区域</t>
  </si>
  <si>
    <t>检测到对应脚手架类型且该规则在项目方案中启用</t>
  </si>
  <si>
    <t>脚手架立面、端部、基础、墙—架连接带或作业层</t>
  </si>
  <si>
    <t>未检出构件不等于缺失；应检区清晰且规则适用后才可判疑似缺失</t>
  </si>
  <si>
    <t>11、12、13、14、15、16、17、19、20、21、23</t>
  </si>
  <si>
    <t>F04</t>
  </si>
  <si>
    <t>洞口与外侧临边分开识别，沿危险边界生成检查带，核验真实防护物</t>
  </si>
  <si>
    <t>检测到floor_opening、open_edge、shaft_opening或平台外沿</t>
  </si>
  <si>
    <t>危险边界及周边防护检查带</t>
  </si>
  <si>
    <t>洞口被盖板完全遮住时不猜洞口；高度/距离阈值后续配置</t>
  </si>
  <si>
    <t>22、24、25、26、28、69</t>
  </si>
  <si>
    <t>F05</t>
  </si>
  <si>
    <t>识别电箱、设备、线缆和端子，结合近景、OCR与连接关系进行核验</t>
  </si>
  <si>
    <t>检测到配电设施或带电作业场景</t>
  </si>
  <si>
    <t>电箱整体图+箱内/箱门/接地端子近景</t>
  </si>
  <si>
    <t>接地电阻、漏保动作、真实电气连通性不能只靠照片确认</t>
  </si>
  <si>
    <t>29、30、31、32、35、38</t>
  </si>
  <si>
    <t>F06</t>
  </si>
  <si>
    <t>识别电缆路径、地面、挤压源和外观缺陷，按路径分段检查</t>
  </si>
  <si>
    <t>检测到电缆且画面覆盖足够长度</t>
  </si>
  <si>
    <t>电缆路径及局部破损/接头区域</t>
  </si>
  <si>
    <t>细小裂纹需抵近图；看不到完整路径时输出待复核</t>
  </si>
  <si>
    <t>33、34、70</t>
  </si>
  <si>
    <t>F07</t>
  </si>
  <si>
    <t>识别支撑架、立杆、水平杆、斜撑、顶托和基础，建立结构关系图</t>
  </si>
  <si>
    <t>检测到模板支撑体系且规则适用</t>
  </si>
  <si>
    <t>支撑单元、立杆底部、顶部自由端或梁底节点</t>
  </si>
  <si>
    <t>精确尺寸和受力需标定/方案；大场景需多视角</t>
  </si>
  <si>
    <t>39、40、41、42、43、44、45</t>
  </si>
  <si>
    <t>F08</t>
  </si>
  <si>
    <t>先识别作业事件/危险区域，再检查围挡、警戒带、警示牌和监护人员</t>
  </si>
  <si>
    <t>检测到拆模、升降、有限空间等受控作业事件</t>
  </si>
  <si>
    <t>作业点外扩形成警戒检查区</t>
  </si>
  <si>
    <t>人员身份和履职不能仅凭单帧外观确认</t>
  </si>
  <si>
    <t>27、46、61、71</t>
  </si>
  <si>
    <t>F09</t>
  </si>
  <si>
    <t>识别吊钩、吊物、吊具、钢丝绳、滑轮及装置状态，结合视频核验作业过程</t>
  </si>
  <si>
    <t>检测到吊装事件或起重关键部件</t>
  </si>
  <si>
    <t>吊钩—吊物关系区、滑轮/钢丝绳近景、基础区</t>
  </si>
  <si>
    <t>失效、载荷和绑扎强度通常需台账、试验或人工复核</t>
  </si>
  <si>
    <t>47、48、49、50</t>
  </si>
  <si>
    <t>F10</t>
  </si>
  <si>
    <t>识别动火事件、火花落区、可燃物和消防器材，建立场景—防护关系</t>
  </si>
  <si>
    <t>检测到焊接/切割/高处动火或指定消防风险点</t>
  </si>
  <si>
    <t>动火点周边、下方落火区、消防设施近景</t>
  </si>
  <si>
    <t>器材数量和配置标准按项目区域配置；压力表需近景</t>
  </si>
  <si>
    <t>36、54、55、56、58、59、72</t>
  </si>
  <si>
    <t>F11</t>
  </si>
  <si>
    <t>定位设备整体和关键部件，VLM/小缺陷模型核验缺失、破损、变形、开裂</t>
  </si>
  <si>
    <t>检测到目标设备且关键部位可见</t>
  </si>
  <si>
    <t>关键部件局部ROI</t>
  </si>
  <si>
    <t>功能失效、校验过期不能由外观直接证明</t>
  </si>
  <si>
    <t>9、52、53、57、66</t>
  </si>
  <si>
    <t>F12</t>
  </si>
  <si>
    <t>识别基础/排水设施/边坡及水体、堵塞、裂缝、渗水，结合时序变化</t>
  </si>
  <si>
    <t>检测到指定基础、排水设施或边坡</t>
  </si>
  <si>
    <t>低洼区、排水通道、基础周边或边坡表面</t>
  </si>
  <si>
    <t>排水能力和边坡稳定性需雨后时序、监测或人工确认</t>
  </si>
  <si>
    <t>18、37、51、64、65</t>
  </si>
  <si>
    <t>F13</t>
  </si>
  <si>
    <t>固定机位配置道路/路口ROI，检测车辆、标志、反光镜和遮挡物，视频估速</t>
  </si>
  <si>
    <t>车辆进入道路ROI或路口/转角检查任务被触发</t>
  </si>
  <si>
    <t>道路轨迹区、路口视域和交通设施区域</t>
  </si>
  <si>
    <t>速度必须依赖视频、帧率和标定；单图不能判超速</t>
  </si>
  <si>
    <t>62、63</t>
  </si>
  <si>
    <t>F14</t>
  </si>
  <si>
    <t>视觉仅提取外观证据，最终结论需设备试验、校验报告、专项方案或台账</t>
  </si>
  <si>
    <t>视觉发现设备/构件候选或例行检查任务触发</t>
  </si>
  <si>
    <t>设备铭牌、装置外观、报告/记录OCR区域</t>
  </si>
  <si>
    <t>不得将外观正常等同于功能有效或校验合格</t>
  </si>
  <si>
    <t>67</t>
  </si>
  <si>
    <t>建议的YOLO基础对象词表（只包含真实可见对象/危险源）</t>
  </si>
  <si>
    <t>对象组</t>
  </si>
  <si>
    <t>英文ID</t>
  </si>
  <si>
    <t>中文名称</t>
  </si>
  <si>
    <t>建议标注形态</t>
  </si>
  <si>
    <t>关键注意点</t>
  </si>
  <si>
    <t>人员与PPE</t>
  </si>
  <si>
    <t>person</t>
  </si>
  <si>
    <t>人员</t>
  </si>
  <si>
    <t>框/姿态</t>
  </si>
  <si>
    <t>全身可见区域；遮挡不猜</t>
  </si>
  <si>
    <t>head</t>
  </si>
  <si>
    <t>人员头部</t>
  </si>
  <si>
    <t>框/关键点</t>
  </si>
  <si>
    <t>用于安全帽、护目镜关系</t>
  </si>
  <si>
    <t>helmet</t>
  </si>
  <si>
    <t>安全帽</t>
  </si>
  <si>
    <t>框</t>
  </si>
  <si>
    <t>真实佩戴或可见安全帽</t>
  </si>
  <si>
    <t>safety_harness</t>
  </si>
  <si>
    <t>安全带/全身式安全带</t>
  </si>
  <si>
    <t>框/分割</t>
  </si>
  <si>
    <t>只标真实可见带体</t>
  </si>
  <si>
    <t>lanyard</t>
  </si>
  <si>
    <t>安全绳/系绳</t>
  </si>
  <si>
    <t>线/分割</t>
  </si>
  <si>
    <t>细长目标需高分辨率</t>
  </si>
  <si>
    <t>safety_hook</t>
  </si>
  <si>
    <t>安全钩</t>
  </si>
  <si>
    <t>小目标，建议抵近样本</t>
  </si>
  <si>
    <t>safety_glasses</t>
  </si>
  <si>
    <t>护目镜</t>
  </si>
  <si>
    <t>透明目标，远景不适用</t>
  </si>
  <si>
    <t>respirator</t>
  </si>
  <si>
    <t>呼吸器</t>
  </si>
  <si>
    <t>区分普通口罩</t>
  </si>
  <si>
    <t>作业事件</t>
  </si>
  <si>
    <t>welding_arc</t>
  </si>
  <si>
    <t>焊接弧光/焊接事件锚点</t>
  </si>
  <si>
    <t>框/事件</t>
  </si>
  <si>
    <t>可与人员、焊枪和火花组合</t>
  </si>
  <si>
    <t>cutting_tool</t>
  </si>
  <si>
    <t>切割工具</t>
  </si>
  <si>
    <t>配合作业状态</t>
  </si>
  <si>
    <t>spark</t>
  </si>
  <si>
    <t>火花区域</t>
  </si>
  <si>
    <t>分割/事件</t>
  </si>
  <si>
    <t>用于切割、焊接和落火方向</t>
  </si>
  <si>
    <t>堆载</t>
  </si>
  <si>
    <t>material_stack</t>
  </si>
  <si>
    <t>材料堆</t>
  </si>
  <si>
    <t>记录材料子类型和占地</t>
  </si>
  <si>
    <t>block_stack</t>
  </si>
  <si>
    <t>砌块堆</t>
  </si>
  <si>
    <t>可结合计数/体积估算</t>
  </si>
  <si>
    <t>soil_pile</t>
  </si>
  <si>
    <t>土方堆</t>
  </si>
  <si>
    <t>分割</t>
  </si>
  <si>
    <t>用于基坑边堆载</t>
  </si>
  <si>
    <t>脚手架</t>
  </si>
  <si>
    <t>scaffold_facade</t>
  </si>
  <si>
    <t>脚手架立面</t>
  </si>
  <si>
    <t>多边形/大框</t>
  </si>
  <si>
    <t>一块连续立面，不标每根杆</t>
  </si>
  <si>
    <t>scaffold_upright</t>
  </si>
  <si>
    <t>脚手架立杆</t>
  </si>
  <si>
    <t>线/框</t>
  </si>
  <si>
    <t>仅在底部/节点规则需要时标</t>
  </si>
  <si>
    <t>wall_surface</t>
  </si>
  <si>
    <t>相邻墙面</t>
  </si>
  <si>
    <t>多边形</t>
  </si>
  <si>
    <t>用于墙—架关系，不需要逐块墙砖</t>
  </si>
  <si>
    <t>wall_tie</t>
  </si>
  <si>
    <t>可见连墙件</t>
  </si>
  <si>
    <t>缺失处不画空气框</t>
  </si>
  <si>
    <t>scaffold_board</t>
  </si>
  <si>
    <t>脚手板</t>
  </si>
  <si>
    <t>多边形/框</t>
  </si>
  <si>
    <t>记录板端和支承关系</t>
  </si>
  <si>
    <t>diagonal_brace</t>
  </si>
  <si>
    <t>斜撑/剪刀撑</t>
  </si>
  <si>
    <t>需场景区分构件用途</t>
  </si>
  <si>
    <t>safety_net</t>
  </si>
  <si>
    <t>用于覆盖率和破损检查</t>
  </si>
  <si>
    <t>base_plate</t>
  </si>
  <si>
    <t>底座</t>
  </si>
  <si>
    <t>脚手架/模板支撑上下文复用</t>
  </si>
  <si>
    <t>sole_board</t>
  </si>
  <si>
    <t>垫板/垫木</t>
  </si>
  <si>
    <t>只标真实可见支承物</t>
  </si>
  <si>
    <t>洞口临边</t>
  </si>
  <si>
    <t>floor_opening</t>
  </si>
  <si>
    <t>水平洞口</t>
  </si>
  <si>
    <t>标实际可见开口轮廓</t>
  </si>
  <si>
    <t>open_edge</t>
  </si>
  <si>
    <t>外侧临边</t>
  </si>
  <si>
    <t>折线/多边形</t>
  </si>
  <si>
    <t>不包含洞口周界</t>
  </si>
  <si>
    <t>vertical_opening</t>
  </si>
  <si>
    <t>竖向洞口</t>
  </si>
  <si>
    <t>墙面/井口等竖向开口</t>
  </si>
  <si>
    <t>guardrail</t>
  </si>
  <si>
    <t>防护栏杆</t>
  </si>
  <si>
    <t>框/线</t>
  </si>
  <si>
    <t>缺失处不画</t>
  </si>
  <si>
    <t>toe_board</t>
  </si>
  <si>
    <t>与护栏底部建立关系</t>
  </si>
  <si>
    <t>opening_cover</t>
  </si>
  <si>
    <t>洞口盖板</t>
  </si>
  <si>
    <t>盖板完全遮洞时只标盖板</t>
  </si>
  <si>
    <t>shaft_protection_door</t>
  </si>
  <si>
    <t>井口/电梯井防护门</t>
  </si>
  <si>
    <t>记录开闭、破损状态</t>
  </si>
  <si>
    <t>临电</t>
  </si>
  <si>
    <t>distribution_box</t>
  </si>
  <si>
    <t>配电箱</t>
  </si>
  <si>
    <t>保留等级/类型属性</t>
  </si>
  <si>
    <t>switch_box</t>
  </si>
  <si>
    <t>开关箱</t>
  </si>
  <si>
    <t>用于一机一闸和取电拓扑</t>
  </si>
  <si>
    <t>power_cable</t>
  </si>
  <si>
    <t>电缆</t>
  </si>
  <si>
    <t>记录完整路径和局部损伤</t>
  </si>
  <si>
    <t>grounding_conductor</t>
  </si>
  <si>
    <t>接地/PE导体</t>
  </si>
  <si>
    <t>颜色只能作辅助证据</t>
  </si>
  <si>
    <t>pe_bonding_wire</t>
  </si>
  <si>
    <t>箱门PE跨接线</t>
  </si>
  <si>
    <t>需箱门近景</t>
  </si>
  <si>
    <t>power_strip</t>
  </si>
  <si>
    <t>拖线板/插线板</t>
  </si>
  <si>
    <t>结合设备取电状态</t>
  </si>
  <si>
    <t>模板支撑</t>
  </si>
  <si>
    <t>formwork_support_system</t>
  </si>
  <si>
    <t>模板支撑体系</t>
  </si>
  <si>
    <t>整体上下文锚点</t>
  </si>
  <si>
    <t>formwork_prop</t>
  </si>
  <si>
    <t>支撑立杆</t>
  </si>
  <si>
    <t>用于底部和顶部节点</t>
  </si>
  <si>
    <t>horizontal_brace</t>
  </si>
  <si>
    <t>水平拉杆</t>
  </si>
  <si>
    <t>与脚手架杆件场景区分</t>
  </si>
  <si>
    <t>u_head_jack</t>
  </si>
  <si>
    <t>可调顶托</t>
  </si>
  <si>
    <t>需要高分辨率顶部节点</t>
  </si>
  <si>
    <t>起重</t>
  </si>
  <si>
    <t>crane_hook</t>
  </si>
  <si>
    <t>吊钩</t>
  </si>
  <si>
    <t>配合防脱装置和吊物关系</t>
  </si>
  <si>
    <t>hook_safety_latch</t>
  </si>
  <si>
    <t>吊钩保险片</t>
  </si>
  <si>
    <t>小目标，缺失处不画</t>
  </si>
  <si>
    <t>suspended_load</t>
  </si>
  <si>
    <t>悬吊物</t>
  </si>
  <si>
    <t>配合吊斗、吊索</t>
  </si>
  <si>
    <t>lifting_bucket</t>
  </si>
  <si>
    <t>专用吊斗</t>
  </si>
  <si>
    <t>用于散料吊运</t>
  </si>
  <si>
    <t>sling</t>
  </si>
  <si>
    <t>吊索/绑扎索具</t>
  </si>
  <si>
    <t>判断连接与明显松脱</t>
  </si>
  <si>
    <t>pulley</t>
  </si>
  <si>
    <t>滑轮</t>
  </si>
  <si>
    <t>配合钢丝绳和防跳装置</t>
  </si>
  <si>
    <t>消防</t>
  </si>
  <si>
    <t>fire_extinguisher</t>
  </si>
  <si>
    <t>灭火器</t>
  </si>
  <si>
    <t>数量、位置、仪表分层处理</t>
  </si>
  <si>
    <t>pressure_gauge</t>
  </si>
  <si>
    <t>灭火器压力表</t>
  </si>
  <si>
    <t>必须近景</t>
  </si>
  <si>
    <t>fire_pan</t>
  </si>
  <si>
    <t>接火斗</t>
  </si>
  <si>
    <t>与高处动火落火区关联</t>
  </si>
  <si>
    <t>fire_hydrant_box</t>
  </si>
  <si>
    <t>消防栓箱</t>
  </si>
  <si>
    <t>再分解阀门、水带、水枪</t>
  </si>
  <si>
    <t>combustible_waste</t>
  </si>
  <si>
    <t>可燃垃圾/木屑</t>
  </si>
  <si>
    <t>区分周转材料与废弃物</t>
  </si>
  <si>
    <t>隔离交通</t>
  </si>
  <si>
    <t>barrier</t>
  </si>
  <si>
    <t>围挡/硬隔离</t>
  </si>
  <si>
    <t>检查连续性</t>
  </si>
  <si>
    <t>caution_tape</t>
  </si>
  <si>
    <t>警戒带</t>
  </si>
  <si>
    <t>与作业区关系</t>
  </si>
  <si>
    <t>warning_sign</t>
  </si>
  <si>
    <t>警示标识</t>
  </si>
  <si>
    <t>框+OCR</t>
  </si>
  <si>
    <t>需识别语义和可见性</t>
  </si>
  <si>
    <t>vehicle</t>
  </si>
  <si>
    <t>场内车辆</t>
  </si>
  <si>
    <t>框+跟踪</t>
  </si>
  <si>
    <t>视频速度估计</t>
  </si>
  <si>
    <t>speed_limit_sign</t>
  </si>
  <si>
    <t>限速标志</t>
  </si>
  <si>
    <t>固定道路设施</t>
  </si>
  <si>
    <t>convex_mirror</t>
  </si>
  <si>
    <t>道路反光镜</t>
  </si>
  <si>
    <t>路口/转角规则</t>
  </si>
  <si>
    <t>水与边坡</t>
  </si>
  <si>
    <t>standing_water</t>
  </si>
  <si>
    <t>积水</t>
  </si>
  <si>
    <t>区分湿润反光</t>
  </si>
  <si>
    <t>drainage_ditch</t>
  </si>
  <si>
    <t>排水沟</t>
  </si>
  <si>
    <t>记录堵塞和连续性</t>
  </si>
  <si>
    <t>slope_surface</t>
  </si>
  <si>
    <t>边坡表面</t>
  </si>
  <si>
    <t>整体上下文</t>
  </si>
  <si>
    <t>slope_crack</t>
  </si>
  <si>
    <t>边坡裂缝</t>
  </si>
  <si>
    <t>需要近景和尺度</t>
  </si>
  <si>
    <t>设备外观</t>
  </si>
  <si>
    <t>protective_canopy</t>
  </si>
  <si>
    <t>防护棚</t>
  </si>
  <si>
    <t>框/多边形</t>
  </si>
  <si>
    <t>通道口和加工区复用</t>
  </si>
  <si>
    <t>machine_guard</t>
  </si>
  <si>
    <t>机械防护罩</t>
  </si>
  <si>
    <t>按机型定义关键部位</t>
  </si>
  <si>
    <t>anti_fall_device</t>
  </si>
  <si>
    <t>防坠装置</t>
  </si>
  <si>
    <t>存在/外观与功能状态分开</t>
  </si>
  <si>
    <t>damage_region</t>
  </si>
  <si>
    <t>破损/变形局部</t>
  </si>
  <si>
    <t>分割/属性</t>
  </si>
  <si>
    <t>建议作为局部缺陷任务，不与基础对象混训</t>
  </si>
  <si>
    <t>复合标签拆分与重复归并建议</t>
  </si>
  <si>
    <t>原序号</t>
  </si>
  <si>
    <t>原问题摘要</t>
  </si>
  <si>
    <t>建议处理</t>
  </si>
  <si>
    <t>原因</t>
  </si>
  <si>
    <t>安全带未系挂；系挂点不可靠</t>
  </si>
  <si>
    <t>拆成2个原子结果</t>
  </si>
  <si>
    <t>证据不同：一个查连接状态，一个查挂点对象可靠性</t>
  </si>
  <si>
    <t>规范化为‘应设位置连墙件缺失’</t>
  </si>
  <si>
    <t>单图无法证明擅自与拆除过程；若有历史视频可另设事件标签</t>
  </si>
  <si>
    <t>脚手板未铺满/未铺稳/未绑扎/探头板</t>
  </si>
  <si>
    <t>拆成3类状态</t>
  </si>
  <si>
    <t>覆盖、稳定/固定、端部悬挑的视觉证据与采集尺度不同</t>
  </si>
  <si>
    <t>横向斜撑缺失及连墙件缺失</t>
  </si>
  <si>
    <t>对象不同，但共用开口端前置条件</t>
  </si>
  <si>
    <t>临边洞口未防护</t>
  </si>
  <si>
    <t>拆成floor_opening与open_edge两套规则</t>
  </si>
  <si>
    <t>洞口是面状开口，外侧临边是边缘段；不得重复标同一危险源</t>
  </si>
  <si>
    <t>防护门缺失或高度不足</t>
  </si>
  <si>
    <t>拆成存在/闭合状态与高度状态</t>
  </si>
  <si>
    <t>前者可视觉关系判断，后者需要尺度</t>
  </si>
  <si>
    <t>PE跨接、资料标识、箱体破损混合</t>
  </si>
  <si>
    <t>拆成3个原子结果</t>
  </si>
  <si>
    <t>分别属于电气连接、OCR资料和外观完整性</t>
  </si>
  <si>
    <t>梁底无独立立杆或偏心受力</t>
  </si>
  <si>
    <t>一个是构件缺失，一个是几何/受力关系</t>
  </si>
  <si>
    <t>散料无吊斗；绑扎不牢</t>
  </si>
  <si>
    <t>一个查容器，一个查吊索与吊物关系</t>
  </si>
  <si>
    <t>消防栓损坏、无法使用</t>
  </si>
  <si>
    <t>外观异常与功能失效分开</t>
  </si>
  <si>
    <t>视觉只能证明缺件/破损，功能需通水或压力试验</t>
  </si>
  <si>
    <t>车辆超速；缺少限速标识</t>
  </si>
  <si>
    <t>超速依赖视频标定，标识缺失依赖道路设施检查</t>
  </si>
  <si>
    <t>视线受阻；反光镜/标识缺失</t>
  </si>
  <si>
    <t>拆成2~3个原子结果</t>
  </si>
  <si>
    <t>视域遮挡和设施配置是不同证据链</t>
  </si>
  <si>
    <t>装置失效、未校验、缺失</t>
  </si>
  <si>
    <t>拆成视觉状态与资料/试验状态</t>
  </si>
  <si>
    <t>缺失可视觉；失效需试验；未校验需台账</t>
  </si>
  <si>
    <t>护栏、挡脚板缺失/破损</t>
  </si>
  <si>
    <t>拆成护栏和挡脚板子状态</t>
  </si>
  <si>
    <t>对象不同，最终可聚合为平台临边防护</t>
  </si>
  <si>
    <t>电缆破损、拖拽挤压、无防护</t>
  </si>
  <si>
    <t>损伤、运动关系、敷设保护需要不同证据</t>
  </si>
  <si>
    <t>警戒区缺失；未安排监护</t>
  </si>
  <si>
    <t>拆成2个结果</t>
  </si>
  <si>
    <t>隔离可视觉；人员角色和安排需作业票/排班</t>
  </si>
  <si>
    <t>防火措施缺失；灭火器材缺失</t>
  </si>
  <si>
    <t>拆成子规则后聚合</t>
  </si>
  <si>
    <t>接火/隔离与器材配置可独立复用第54、59条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</si>
</sst>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0"/>
      <color rgb="FFFFFFFF"/>
      <name val="Microsoft YaHei"/>
      <charset val="134"/>
    </font>
    <font>
      <b/>
      <sz val="10"/>
      <color rgb="FF124A52"/>
      <name val="Microsoft YaHei"/>
      <charset val="134"/>
    </font>
    <font>
      <sz val="10"/>
      <name val="Microsoft YaHei"/>
      <charset val="134"/>
    </font>
    <font>
      <b/>
      <sz val="9"/>
      <color rgb="FFFFFFFF"/>
      <name val="Microsoft YaHei"/>
      <charset val="134"/>
    </font>
    <font>
      <b/>
      <sz val="9"/>
      <color rgb="FF124A52"/>
      <name val="Microsoft YaHei"/>
      <charset val="134"/>
    </font>
    <font>
      <sz val="9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85E68"/>
        <bgColor indexed="64"/>
      </patternFill>
    </fill>
    <fill>
      <patternFill patternType="solid">
        <fgColor rgb="FFDCEFF0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6E2E4"/>
      </left>
      <right style="thin">
        <color rgb="FFD6E2E4"/>
      </right>
      <top style="thin">
        <color rgb="FFD6E2E4"/>
      </top>
      <bottom style="thin">
        <color rgb="FFD6E2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/>
    <xf numFmtId="0" fontId="2" fillId="3" borderId="1" xfId="49" applyNumberFormat="1" applyFont="1" applyFill="1" applyBorder="1"/>
    <xf numFmtId="0" fontId="3" fillId="0" borderId="1" xfId="49" applyNumberFormat="1" applyFont="1" applyFill="1" applyBorder="1" applyAlignment="1">
      <alignment vertical="top" wrapText="1"/>
    </xf>
    <xf numFmtId="0" fontId="2" fillId="3" borderId="1" xfId="49" applyNumberFormat="1" applyFont="1" applyFill="1" applyBorder="1" applyAlignment="1">
      <alignment wrapText="1"/>
    </xf>
    <xf numFmtId="0" fontId="4" fillId="2" borderId="0" xfId="49" applyNumberFormat="1" applyFont="1" applyFill="1" applyBorder="1"/>
    <xf numFmtId="0" fontId="5" fillId="3" borderId="1" xfId="49" applyNumberFormat="1" applyFont="1" applyFill="1" applyBorder="1" applyAlignment="1">
      <alignment vertical="center" wrapText="1"/>
    </xf>
    <xf numFmtId="0" fontId="6" fillId="0" borderId="1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/>
    <xf numFmtId="0" fontId="3" fillId="0" borderId="1" xfId="49" applyNumberFormat="1" applyFont="1" applyFill="1" applyBorder="1"/>
    <xf numFmtId="0" fontId="3" fillId="4" borderId="1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B42318"/>
      </font>
      <fill>
        <patternFill patternType="solid">
          <bgColor rgb="FFFCE8E8"/>
        </patternFill>
      </fill>
    </dxf>
    <dxf>
      <font>
        <color rgb="FF8A4B08"/>
      </font>
      <fill>
        <patternFill patternType="solid">
          <bgColor rgb="FFFFF7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HazardDesignTable" displayName="HazardDesignTable" ref="A2:V1048576" totalsRowShown="0">
  <tableColumns count="22">
    <tableColumn id="1" name="序号"/>
    <tableColumn id="2" name="原分类"/>
    <tableColumn id="3" name="原隐患内容"/>
    <tableColumn id="4" name="批注"/>
    <tableColumn id="5" name="规范化/原子标签"/>
    <tableColumn id="6" name="作业区域"/>
    <tableColumn id="7" name="重大隐患"/>
    <tableColumn id="8" name="采集方式"/>
    <tableColumn id="9" name="检查方法"/>
    <tableColumn id="11" name="规则族"/>
    <tableColumn id="12" name="判定路线"/>
    <tableColumn id="13" name="YOLO标注对象/锚点"/>
    <tableColumn id="14" name="禁止或不应直接标注"/>
    <tableColumn id="15" name="触发前置与规则条件"/>
    <tableColumn id="16" name="自动检查区/关系"/>
    <tableColumn id="17" name="VLM核验任务"/>
    <tableColumn id="18" name="最终输出状态"/>
    <tableColumn id="19" name="视觉边界/外部证据"/>
    <tableColumn id="20" name="拆分归并建议"/>
    <tableColumn id="21" name="源表说明"/>
    <tableColumn id="22" name="判定依据"/>
    <tableColumn id="23" name="主路线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uleFamilyTable" displayName="RuleFamilyTable" ref="A2:G16" totalsRowShown="0">
  <tableColumns count="7">
    <tableColumn id="1" name="规则族ID"/>
    <tableColumn id="2" name="规则族名称"/>
    <tableColumn id="3" name="核心原理"/>
    <tableColumn id="4" name="触发前置"/>
    <tableColumn id="5" name="典型检查区"/>
    <tableColumn id="6" name="默认判定边界"/>
    <tableColumn id="7" name="关联原序号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bjectCatalogTable" displayName="ObjectCatalogTable" ref="A2:E67" totalsRowShown="0">
  <tableColumns count="5">
    <tableColumn id="1" name="对象组"/>
    <tableColumn id="2" name="英文ID"/>
    <tableColumn id="3" name="中文名称"/>
    <tableColumn id="4" name="建议标注形态"/>
    <tableColumn id="5" name="关键注意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plitSuggestionTable" displayName="SplitSuggestionTable" ref="A2:D19" totalsRowShown="0">
  <tableColumns count="4">
    <tableColumn id="1" name="原序号"/>
    <tableColumn id="2" name="原问题摘要"/>
    <tableColumn id="3" name="建议处理"/>
    <tableColumn id="4" name="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showGridLines="0" workbookViewId="0">
      <selection activeCell="B11" sqref="B11:D21"/>
    </sheetView>
  </sheetViews>
  <sheetFormatPr defaultColWidth="9" defaultRowHeight="14" outlineLevelCol="7"/>
  <cols>
    <col min="1" max="1" width="18" customWidth="1"/>
    <col min="2" max="2" width="58" customWidth="1"/>
    <col min="4" max="4" width="28" customWidth="1"/>
    <col min="5" max="5" width="12" customWidth="1"/>
  </cols>
  <sheetData>
    <row r="1" ht="34" customHeight="1" spans="1:8">
      <c r="A1" s="8" t="s">
        <v>0</v>
      </c>
      <c r="B1" s="8"/>
      <c r="C1" s="8"/>
      <c r="D1" s="8"/>
      <c r="E1" s="8"/>
      <c r="F1" s="8"/>
      <c r="G1" s="8"/>
      <c r="H1" s="8"/>
    </row>
    <row r="2" ht="14.5" spans="1:8">
      <c r="A2" s="9"/>
      <c r="B2" s="9"/>
      <c r="C2" s="9"/>
      <c r="D2" s="9"/>
      <c r="E2" s="9"/>
      <c r="F2" s="9"/>
      <c r="G2" s="9"/>
      <c r="H2" s="9"/>
    </row>
    <row r="3" ht="14.5" spans="1:8">
      <c r="A3" s="2" t="s">
        <v>1</v>
      </c>
      <c r="B3" s="3" t="s">
        <v>2</v>
      </c>
      <c r="C3" s="9"/>
      <c r="D3" s="2" t="s">
        <v>3</v>
      </c>
      <c r="E3" s="2" t="s">
        <v>4</v>
      </c>
      <c r="F3" s="9"/>
      <c r="G3" s="9"/>
      <c r="H3" s="9"/>
    </row>
    <row r="4" ht="14.5" spans="1:8">
      <c r="A4" s="2" t="s">
        <v>5</v>
      </c>
      <c r="B4" s="3" t="s">
        <v>6</v>
      </c>
      <c r="C4" s="9"/>
      <c r="D4" s="10" t="s">
        <v>7</v>
      </c>
      <c r="E4" s="10">
        <f>COUNTIF(逐项设计!$V$3:$V$1048576,"A")</f>
        <v>2</v>
      </c>
      <c r="F4" s="9"/>
      <c r="G4" s="9"/>
      <c r="H4" s="9"/>
    </row>
    <row r="5" ht="14.5" spans="1:8">
      <c r="A5" s="2" t="s">
        <v>8</v>
      </c>
      <c r="B5" s="3">
        <v>72</v>
      </c>
      <c r="C5" s="9"/>
      <c r="D5" s="10" t="s">
        <v>9</v>
      </c>
      <c r="E5" s="10">
        <f>COUNTIF(逐项设计!$V$3:$V$1048576,"B")</f>
        <v>27</v>
      </c>
      <c r="F5" s="9"/>
      <c r="G5" s="9"/>
      <c r="H5" s="9"/>
    </row>
    <row r="6" ht="14.5" spans="1:8">
      <c r="A6" s="2" t="s">
        <v>10</v>
      </c>
      <c r="B6" s="3" t="s">
        <v>11</v>
      </c>
      <c r="C6" s="9"/>
      <c r="D6" s="10" t="s">
        <v>12</v>
      </c>
      <c r="E6" s="10">
        <f>COUNTIF(逐项设计!$V$3:$V$1048576,"C")</f>
        <v>13</v>
      </c>
      <c r="F6" s="9"/>
      <c r="G6" s="9"/>
      <c r="H6" s="9"/>
    </row>
    <row r="7" ht="29" spans="1:8">
      <c r="A7" s="2" t="s">
        <v>13</v>
      </c>
      <c r="B7" s="3" t="s">
        <v>14</v>
      </c>
      <c r="C7" s="9"/>
      <c r="D7" s="10" t="s">
        <v>15</v>
      </c>
      <c r="E7" s="10">
        <f>COUNTIF(逐项设计!$V$3:$V$1048576,"D")</f>
        <v>30</v>
      </c>
      <c r="F7" s="9"/>
      <c r="G7" s="9"/>
      <c r="H7" s="9"/>
    </row>
    <row r="8" ht="29" spans="1:8">
      <c r="A8" s="2" t="s">
        <v>16</v>
      </c>
      <c r="B8" s="3" t="s">
        <v>17</v>
      </c>
      <c r="C8" s="9"/>
      <c r="D8" s="9"/>
      <c r="E8" s="9"/>
      <c r="F8" s="9"/>
      <c r="G8" s="9"/>
      <c r="H8" s="9"/>
    </row>
    <row r="9" ht="14.5" spans="1:8">
      <c r="A9" s="2" t="s">
        <v>18</v>
      </c>
      <c r="B9" s="3" t="s">
        <v>19</v>
      </c>
      <c r="C9" s="9"/>
      <c r="D9" s="2" t="s">
        <v>20</v>
      </c>
      <c r="E9" s="2"/>
      <c r="F9" s="2"/>
      <c r="G9" s="2"/>
      <c r="H9" s="2"/>
    </row>
    <row r="10" ht="46" customHeight="1" spans="1:8">
      <c r="A10" s="9"/>
      <c r="B10" s="9"/>
      <c r="C10" s="9"/>
      <c r="D10" s="11" t="s">
        <v>21</v>
      </c>
      <c r="E10" s="11"/>
      <c r="F10" s="11"/>
      <c r="G10" s="11"/>
      <c r="H10" s="11"/>
    </row>
    <row r="11" ht="14.5" spans="1:8">
      <c r="A11" s="9"/>
      <c r="B11" s="9"/>
      <c r="C11" s="9"/>
      <c r="D11" s="9"/>
      <c r="E11" s="9"/>
      <c r="F11" s="9"/>
      <c r="G11" s="9"/>
      <c r="H11" s="9"/>
    </row>
    <row r="12" ht="14.5" spans="1:8">
      <c r="A12" s="9"/>
      <c r="B12" s="9"/>
      <c r="C12" s="9"/>
      <c r="D12" s="9"/>
      <c r="E12" s="9"/>
      <c r="F12" s="9"/>
      <c r="G12" s="9"/>
      <c r="H12" s="9"/>
    </row>
  </sheetData>
  <mergeCells count="3">
    <mergeCell ref="A1:H1"/>
    <mergeCell ref="D9:H9"/>
    <mergeCell ref="D10:H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4"/>
  <sheetViews>
    <sheetView tabSelected="1" topLeftCell="A3" workbookViewId="0">
      <selection activeCell="B3" sqref="B3:B1048576"/>
    </sheetView>
  </sheetViews>
  <sheetFormatPr defaultColWidth="9" defaultRowHeight="14"/>
  <cols>
    <col min="1" max="1" width="8" customWidth="1"/>
    <col min="2" max="2" width="14" customWidth="1"/>
    <col min="3" max="3" width="38" customWidth="1"/>
    <col min="4" max="4" width="24" customWidth="1"/>
    <col min="5" max="5" width="32" customWidth="1"/>
    <col min="6" max="6" width="22" customWidth="1"/>
    <col min="7" max="7" width="10" customWidth="1"/>
    <col min="8" max="8" width="18" customWidth="1"/>
    <col min="9" max="9" width="32" customWidth="1"/>
    <col min="10" max="11" width="22" customWidth="1"/>
    <col min="12" max="12" width="42" customWidth="1"/>
    <col min="13" max="13" width="38" customWidth="1"/>
    <col min="14" max="14" width="44" customWidth="1"/>
    <col min="15" max="15" width="36" customWidth="1"/>
    <col min="16" max="16" width="42" customWidth="1"/>
    <col min="17" max="17" width="34" customWidth="1"/>
    <col min="18" max="18" width="42" customWidth="1"/>
    <col min="19" max="19" width="38" customWidth="1"/>
    <col min="20" max="20" width="26" customWidth="1"/>
    <col min="21" max="21" width="34" customWidth="1"/>
    <col min="22" max="22" width="9" customWidth="1"/>
  </cols>
  <sheetData>
    <row r="1" ht="30" customHeight="1" spans="1:22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34" customHeight="1" spans="1:22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</v>
      </c>
      <c r="L2" s="6" t="s">
        <v>33</v>
      </c>
      <c r="M2" s="6" t="s">
        <v>34</v>
      </c>
      <c r="N2" s="6" t="s">
        <v>35</v>
      </c>
      <c r="O2" s="6" t="s">
        <v>36</v>
      </c>
      <c r="P2" s="6" t="s">
        <v>37</v>
      </c>
      <c r="Q2" s="6" t="s">
        <v>38</v>
      </c>
      <c r="R2" s="6" t="s">
        <v>39</v>
      </c>
      <c r="S2" s="6" t="s">
        <v>40</v>
      </c>
      <c r="T2" s="6" t="s">
        <v>41</v>
      </c>
      <c r="U2" s="6" t="s">
        <v>42</v>
      </c>
      <c r="V2" s="6" t="s">
        <v>43</v>
      </c>
    </row>
    <row r="3" ht="26" spans="1:22">
      <c r="A3" s="7">
        <v>1</v>
      </c>
      <c r="B3" s="7" t="s">
        <v>44</v>
      </c>
      <c r="C3" s="7" t="s">
        <v>45</v>
      </c>
      <c r="D3" s="7" t="s">
        <v>46</v>
      </c>
      <c r="E3" s="7" t="s">
        <v>47</v>
      </c>
      <c r="F3" s="7" t="s">
        <v>48</v>
      </c>
      <c r="G3" s="7" t="s">
        <v>49</v>
      </c>
      <c r="H3" s="7" t="s">
        <v>50</v>
      </c>
      <c r="I3" s="7" t="s">
        <v>51</v>
      </c>
      <c r="J3" s="7" t="s">
        <v>52</v>
      </c>
      <c r="K3" s="7" t="s">
        <v>9</v>
      </c>
      <c r="L3" s="7" t="s">
        <v>53</v>
      </c>
      <c r="M3" s="7" t="s">
        <v>54</v>
      </c>
      <c r="N3" s="7" t="s">
        <v>55</v>
      </c>
      <c r="O3" s="7" t="s">
        <v>56</v>
      </c>
      <c r="P3" s="7" t="s">
        <v>57</v>
      </c>
      <c r="Q3" s="7" t="s">
        <v>58</v>
      </c>
      <c r="R3" s="7" t="s">
        <v>59</v>
      </c>
      <c r="S3" s="7" t="s">
        <v>60</v>
      </c>
      <c r="T3" s="7" t="s">
        <v>61</v>
      </c>
      <c r="U3" s="7" t="s">
        <v>62</v>
      </c>
      <c r="V3" s="7" t="s">
        <v>63</v>
      </c>
    </row>
    <row r="4" ht="26" spans="1:22">
      <c r="A4" s="7">
        <v>2</v>
      </c>
      <c r="B4" s="7" t="s">
        <v>44</v>
      </c>
      <c r="C4" s="7" t="s">
        <v>64</v>
      </c>
      <c r="D4" s="7" t="s">
        <v>65</v>
      </c>
      <c r="E4" s="7" t="s">
        <v>66</v>
      </c>
      <c r="F4" s="7" t="s">
        <v>67</v>
      </c>
      <c r="G4" s="7" t="s">
        <v>68</v>
      </c>
      <c r="H4" s="7" t="s">
        <v>69</v>
      </c>
      <c r="I4" s="7" t="s">
        <v>70</v>
      </c>
      <c r="J4" s="7" t="s">
        <v>52</v>
      </c>
      <c r="K4" s="7" t="s">
        <v>9</v>
      </c>
      <c r="L4" s="7" t="s">
        <v>71</v>
      </c>
      <c r="M4" s="7" t="s">
        <v>72</v>
      </c>
      <c r="N4" s="7" t="s">
        <v>73</v>
      </c>
      <c r="O4" s="7" t="s">
        <v>74</v>
      </c>
      <c r="P4" s="7" t="s">
        <v>75</v>
      </c>
      <c r="Q4" s="7" t="s">
        <v>58</v>
      </c>
      <c r="R4" s="7" t="s">
        <v>76</v>
      </c>
      <c r="S4" s="7" t="s">
        <v>77</v>
      </c>
      <c r="T4" s="7" t="s">
        <v>78</v>
      </c>
      <c r="U4" s="7" t="s">
        <v>79</v>
      </c>
      <c r="V4" s="7" t="s">
        <v>63</v>
      </c>
    </row>
    <row r="5" ht="26" spans="1:22">
      <c r="A5" s="7">
        <v>3</v>
      </c>
      <c r="B5" s="7" t="s">
        <v>44</v>
      </c>
      <c r="C5" s="7" t="s">
        <v>80</v>
      </c>
      <c r="D5" s="7" t="s">
        <v>61</v>
      </c>
      <c r="E5" s="7" t="s">
        <v>81</v>
      </c>
      <c r="F5" s="7" t="s">
        <v>67</v>
      </c>
      <c r="G5" s="7" t="s">
        <v>68</v>
      </c>
      <c r="H5" s="7" t="s">
        <v>69</v>
      </c>
      <c r="I5" s="7" t="s">
        <v>82</v>
      </c>
      <c r="J5" s="7" t="s">
        <v>52</v>
      </c>
      <c r="K5" s="7" t="s">
        <v>83</v>
      </c>
      <c r="L5" s="7" t="s">
        <v>84</v>
      </c>
      <c r="M5" s="7" t="s">
        <v>85</v>
      </c>
      <c r="N5" s="7" t="s">
        <v>86</v>
      </c>
      <c r="O5" s="7" t="s">
        <v>87</v>
      </c>
      <c r="P5" s="7" t="s">
        <v>88</v>
      </c>
      <c r="Q5" s="7" t="s">
        <v>58</v>
      </c>
      <c r="R5" s="7" t="s">
        <v>89</v>
      </c>
      <c r="S5" s="7" t="s">
        <v>90</v>
      </c>
      <c r="T5" s="7" t="s">
        <v>61</v>
      </c>
      <c r="U5" s="7" t="s">
        <v>91</v>
      </c>
      <c r="V5" s="7" t="s">
        <v>92</v>
      </c>
    </row>
    <row r="6" ht="26" spans="1:22">
      <c r="A6" s="7">
        <v>4</v>
      </c>
      <c r="B6" s="7" t="s">
        <v>44</v>
      </c>
      <c r="C6" s="7" t="s">
        <v>93</v>
      </c>
      <c r="D6" s="7" t="s">
        <v>94</v>
      </c>
      <c r="E6" s="7" t="s">
        <v>95</v>
      </c>
      <c r="F6" s="7" t="s">
        <v>67</v>
      </c>
      <c r="G6" s="7" t="s">
        <v>68</v>
      </c>
      <c r="H6" s="7" t="s">
        <v>69</v>
      </c>
      <c r="I6" s="7" t="s">
        <v>96</v>
      </c>
      <c r="J6" s="7" t="s">
        <v>52</v>
      </c>
      <c r="K6" s="7" t="s">
        <v>9</v>
      </c>
      <c r="L6" s="7" t="s">
        <v>97</v>
      </c>
      <c r="M6" s="7" t="s">
        <v>98</v>
      </c>
      <c r="N6" s="7" t="s">
        <v>99</v>
      </c>
      <c r="O6" s="7" t="s">
        <v>100</v>
      </c>
      <c r="P6" s="7" t="s">
        <v>101</v>
      </c>
      <c r="Q6" s="7" t="s">
        <v>58</v>
      </c>
      <c r="R6" s="7" t="s">
        <v>102</v>
      </c>
      <c r="S6" s="7" t="s">
        <v>103</v>
      </c>
      <c r="T6" s="7" t="s">
        <v>61</v>
      </c>
      <c r="U6" s="7" t="s">
        <v>91</v>
      </c>
      <c r="V6" s="7" t="s">
        <v>63</v>
      </c>
    </row>
    <row r="7" ht="26" spans="1:22">
      <c r="A7" s="7">
        <v>5</v>
      </c>
      <c r="B7" s="7" t="s">
        <v>44</v>
      </c>
      <c r="C7" s="7" t="s">
        <v>104</v>
      </c>
      <c r="D7" s="7" t="s">
        <v>61</v>
      </c>
      <c r="E7" s="7" t="s">
        <v>105</v>
      </c>
      <c r="F7" s="7" t="s">
        <v>106</v>
      </c>
      <c r="G7" s="7" t="s">
        <v>68</v>
      </c>
      <c r="H7" s="7" t="s">
        <v>69</v>
      </c>
      <c r="I7" s="7" t="s">
        <v>107</v>
      </c>
      <c r="J7" s="7" t="s">
        <v>52</v>
      </c>
      <c r="K7" s="7" t="s">
        <v>9</v>
      </c>
      <c r="L7" s="7" t="s">
        <v>108</v>
      </c>
      <c r="M7" s="7" t="s">
        <v>109</v>
      </c>
      <c r="N7" s="7" t="s">
        <v>110</v>
      </c>
      <c r="O7" s="7" t="s">
        <v>111</v>
      </c>
      <c r="P7" s="7" t="s">
        <v>112</v>
      </c>
      <c r="Q7" s="7" t="s">
        <v>58</v>
      </c>
      <c r="R7" s="7" t="s">
        <v>113</v>
      </c>
      <c r="S7" s="7" t="s">
        <v>114</v>
      </c>
      <c r="T7" s="7" t="s">
        <v>115</v>
      </c>
      <c r="U7" s="7" t="s">
        <v>116</v>
      </c>
      <c r="V7" s="7" t="s">
        <v>63</v>
      </c>
    </row>
    <row r="8" ht="26" spans="1:22">
      <c r="A8" s="7">
        <v>6</v>
      </c>
      <c r="B8" s="7" t="s">
        <v>117</v>
      </c>
      <c r="C8" s="7" t="s">
        <v>118</v>
      </c>
      <c r="D8" s="7" t="s">
        <v>117</v>
      </c>
      <c r="E8" s="7" t="s">
        <v>119</v>
      </c>
      <c r="F8" s="7" t="s">
        <v>106</v>
      </c>
      <c r="G8" s="7" t="s">
        <v>49</v>
      </c>
      <c r="H8" s="7" t="s">
        <v>69</v>
      </c>
      <c r="I8" s="7" t="s">
        <v>120</v>
      </c>
      <c r="J8" s="7" t="s">
        <v>121</v>
      </c>
      <c r="K8" s="7" t="s">
        <v>122</v>
      </c>
      <c r="L8" s="7" t="s">
        <v>123</v>
      </c>
      <c r="M8" s="7" t="s">
        <v>124</v>
      </c>
      <c r="N8" s="7" t="s">
        <v>125</v>
      </c>
      <c r="O8" s="7" t="s">
        <v>126</v>
      </c>
      <c r="P8" s="7" t="s">
        <v>127</v>
      </c>
      <c r="Q8" s="7" t="s">
        <v>58</v>
      </c>
      <c r="R8" s="7" t="s">
        <v>128</v>
      </c>
      <c r="S8" s="7" t="s">
        <v>129</v>
      </c>
      <c r="T8" s="7" t="s">
        <v>130</v>
      </c>
      <c r="U8" s="7" t="s">
        <v>131</v>
      </c>
      <c r="V8" s="7" t="s">
        <v>132</v>
      </c>
    </row>
    <row r="9" ht="26" spans="1:22">
      <c r="A9" s="7">
        <v>7</v>
      </c>
      <c r="B9" s="7" t="s">
        <v>117</v>
      </c>
      <c r="C9" s="7" t="s">
        <v>133</v>
      </c>
      <c r="D9" s="7" t="s">
        <v>134</v>
      </c>
      <c r="E9" s="7" t="s">
        <v>135</v>
      </c>
      <c r="F9" s="7" t="s">
        <v>106</v>
      </c>
      <c r="G9" s="7" t="s">
        <v>68</v>
      </c>
      <c r="H9" s="7" t="s">
        <v>69</v>
      </c>
      <c r="I9" s="7" t="s">
        <v>136</v>
      </c>
      <c r="J9" s="7" t="s">
        <v>121</v>
      </c>
      <c r="K9" s="7" t="s">
        <v>137</v>
      </c>
      <c r="L9" s="7" t="s">
        <v>138</v>
      </c>
      <c r="M9" s="7" t="s">
        <v>139</v>
      </c>
      <c r="N9" s="7" t="s">
        <v>140</v>
      </c>
      <c r="O9" s="7" t="s">
        <v>141</v>
      </c>
      <c r="P9" s="7" t="s">
        <v>142</v>
      </c>
      <c r="Q9" s="7" t="s">
        <v>58</v>
      </c>
      <c r="R9" s="7" t="s">
        <v>143</v>
      </c>
      <c r="S9" s="7" t="s">
        <v>144</v>
      </c>
      <c r="T9" s="7" t="s">
        <v>145</v>
      </c>
      <c r="U9" s="7" t="s">
        <v>146</v>
      </c>
      <c r="V9" s="7" t="s">
        <v>132</v>
      </c>
    </row>
    <row r="10" ht="26" spans="1:22">
      <c r="A10" s="7">
        <v>8</v>
      </c>
      <c r="B10" s="7" t="s">
        <v>117</v>
      </c>
      <c r="C10" s="7" t="s">
        <v>147</v>
      </c>
      <c r="D10" s="7" t="s">
        <v>148</v>
      </c>
      <c r="E10" s="7" t="s">
        <v>149</v>
      </c>
      <c r="F10" s="7" t="s">
        <v>150</v>
      </c>
      <c r="G10" s="7" t="s">
        <v>68</v>
      </c>
      <c r="H10" s="7" t="s">
        <v>50</v>
      </c>
      <c r="I10" s="7" t="s">
        <v>151</v>
      </c>
      <c r="J10" s="7" t="s">
        <v>121</v>
      </c>
      <c r="K10" s="7" t="s">
        <v>152</v>
      </c>
      <c r="L10" s="7" t="s">
        <v>153</v>
      </c>
      <c r="M10" s="7" t="s">
        <v>154</v>
      </c>
      <c r="N10" s="7" t="s">
        <v>155</v>
      </c>
      <c r="O10" s="7" t="s">
        <v>156</v>
      </c>
      <c r="P10" s="7" t="s">
        <v>157</v>
      </c>
      <c r="Q10" s="7" t="s">
        <v>58</v>
      </c>
      <c r="R10" s="7" t="s">
        <v>158</v>
      </c>
      <c r="S10" s="7" t="s">
        <v>159</v>
      </c>
      <c r="T10" s="7" t="s">
        <v>160</v>
      </c>
      <c r="U10" s="7" t="s">
        <v>161</v>
      </c>
      <c r="V10" s="7" t="s">
        <v>63</v>
      </c>
    </row>
    <row r="11" ht="26" spans="1:22">
      <c r="A11" s="7">
        <v>9</v>
      </c>
      <c r="B11" s="7" t="s">
        <v>162</v>
      </c>
      <c r="C11" s="7" t="s">
        <v>163</v>
      </c>
      <c r="D11" s="7" t="s">
        <v>61</v>
      </c>
      <c r="E11" s="7" t="s">
        <v>164</v>
      </c>
      <c r="F11" s="7" t="s">
        <v>165</v>
      </c>
      <c r="G11" s="7" t="s">
        <v>49</v>
      </c>
      <c r="H11" s="7" t="s">
        <v>69</v>
      </c>
      <c r="I11" s="7" t="s">
        <v>166</v>
      </c>
      <c r="J11" s="7" t="s">
        <v>167</v>
      </c>
      <c r="K11" s="7" t="s">
        <v>168</v>
      </c>
      <c r="L11" s="7" t="s">
        <v>169</v>
      </c>
      <c r="M11" s="7" t="s">
        <v>170</v>
      </c>
      <c r="N11" s="7" t="s">
        <v>171</v>
      </c>
      <c r="O11" s="7" t="s">
        <v>172</v>
      </c>
      <c r="P11" s="7" t="s">
        <v>173</v>
      </c>
      <c r="Q11" s="7" t="s">
        <v>58</v>
      </c>
      <c r="R11" s="7" t="s">
        <v>174</v>
      </c>
      <c r="S11" s="7" t="s">
        <v>175</v>
      </c>
      <c r="T11" s="7" t="s">
        <v>61</v>
      </c>
      <c r="U11" s="7" t="s">
        <v>176</v>
      </c>
      <c r="V11" s="7" t="s">
        <v>132</v>
      </c>
    </row>
    <row r="12" ht="26" spans="1:22">
      <c r="A12" s="7">
        <v>10</v>
      </c>
      <c r="B12" s="7" t="s">
        <v>162</v>
      </c>
      <c r="C12" s="7" t="s">
        <v>177</v>
      </c>
      <c r="D12" s="7" t="s">
        <v>117</v>
      </c>
      <c r="E12" s="7" t="s">
        <v>178</v>
      </c>
      <c r="F12" s="7" t="s">
        <v>179</v>
      </c>
      <c r="G12" s="7" t="s">
        <v>68</v>
      </c>
      <c r="H12" s="7" t="s">
        <v>69</v>
      </c>
      <c r="I12" s="7" t="s">
        <v>180</v>
      </c>
      <c r="J12" s="7" t="s">
        <v>121</v>
      </c>
      <c r="K12" s="7" t="s">
        <v>181</v>
      </c>
      <c r="L12" s="7" t="s">
        <v>182</v>
      </c>
      <c r="M12" s="7" t="s">
        <v>183</v>
      </c>
      <c r="N12" s="7" t="s">
        <v>184</v>
      </c>
      <c r="O12" s="7" t="s">
        <v>185</v>
      </c>
      <c r="P12" s="7" t="s">
        <v>186</v>
      </c>
      <c r="Q12" s="7" t="s">
        <v>58</v>
      </c>
      <c r="R12" s="7" t="s">
        <v>187</v>
      </c>
      <c r="S12" s="7" t="s">
        <v>188</v>
      </c>
      <c r="T12" s="7" t="s">
        <v>189</v>
      </c>
      <c r="U12" s="7" t="s">
        <v>190</v>
      </c>
      <c r="V12" s="7" t="s">
        <v>132</v>
      </c>
    </row>
    <row r="13" ht="26" spans="1:22">
      <c r="A13" s="7">
        <v>11</v>
      </c>
      <c r="B13" s="7" t="s">
        <v>162</v>
      </c>
      <c r="C13" s="7" t="s">
        <v>191</v>
      </c>
      <c r="D13" s="7" t="s">
        <v>192</v>
      </c>
      <c r="E13" s="7" t="s">
        <v>193</v>
      </c>
      <c r="F13" s="7" t="s">
        <v>179</v>
      </c>
      <c r="G13" s="7" t="s">
        <v>68</v>
      </c>
      <c r="H13" s="7" t="s">
        <v>69</v>
      </c>
      <c r="I13" s="7" t="s">
        <v>194</v>
      </c>
      <c r="J13" s="7" t="s">
        <v>195</v>
      </c>
      <c r="K13" s="7" t="s">
        <v>196</v>
      </c>
      <c r="L13" s="7" t="s">
        <v>197</v>
      </c>
      <c r="M13" s="7" t="s">
        <v>198</v>
      </c>
      <c r="N13" s="7" t="s">
        <v>199</v>
      </c>
      <c r="O13" s="7" t="s">
        <v>200</v>
      </c>
      <c r="P13" s="7" t="s">
        <v>201</v>
      </c>
      <c r="Q13" s="7" t="s">
        <v>58</v>
      </c>
      <c r="R13" s="7" t="s">
        <v>202</v>
      </c>
      <c r="S13" s="7" t="s">
        <v>203</v>
      </c>
      <c r="T13" s="7" t="s">
        <v>61</v>
      </c>
      <c r="U13" s="7" t="s">
        <v>204</v>
      </c>
      <c r="V13" s="7" t="s">
        <v>132</v>
      </c>
    </row>
    <row r="14" ht="26" spans="1:22">
      <c r="A14" s="7">
        <v>12</v>
      </c>
      <c r="B14" s="7" t="s">
        <v>162</v>
      </c>
      <c r="C14" s="7" t="s">
        <v>205</v>
      </c>
      <c r="D14" s="7" t="s">
        <v>61</v>
      </c>
      <c r="E14" s="7" t="s">
        <v>206</v>
      </c>
      <c r="F14" s="7" t="s">
        <v>179</v>
      </c>
      <c r="G14" s="7" t="s">
        <v>68</v>
      </c>
      <c r="H14" s="7" t="s">
        <v>207</v>
      </c>
      <c r="I14" s="7" t="s">
        <v>208</v>
      </c>
      <c r="J14" s="7" t="s">
        <v>195</v>
      </c>
      <c r="K14" s="7" t="s">
        <v>152</v>
      </c>
      <c r="L14" s="7" t="s">
        <v>209</v>
      </c>
      <c r="M14" s="7" t="s">
        <v>210</v>
      </c>
      <c r="N14" s="7" t="s">
        <v>211</v>
      </c>
      <c r="O14" s="7" t="s">
        <v>212</v>
      </c>
      <c r="P14" s="7" t="s">
        <v>213</v>
      </c>
      <c r="Q14" s="7" t="s">
        <v>58</v>
      </c>
      <c r="R14" s="7" t="s">
        <v>214</v>
      </c>
      <c r="S14" s="7" t="s">
        <v>215</v>
      </c>
      <c r="T14" s="7" t="s">
        <v>61</v>
      </c>
      <c r="U14" s="7" t="s">
        <v>216</v>
      </c>
      <c r="V14" s="7" t="s">
        <v>63</v>
      </c>
    </row>
    <row r="15" ht="26" spans="1:22">
      <c r="A15" s="7">
        <v>13</v>
      </c>
      <c r="B15" s="7" t="s">
        <v>162</v>
      </c>
      <c r="C15" s="7" t="s">
        <v>217</v>
      </c>
      <c r="D15" s="7" t="s">
        <v>218</v>
      </c>
      <c r="E15" s="7" t="s">
        <v>219</v>
      </c>
      <c r="F15" s="7" t="s">
        <v>179</v>
      </c>
      <c r="G15" s="7" t="s">
        <v>68</v>
      </c>
      <c r="H15" s="7" t="s">
        <v>50</v>
      </c>
      <c r="I15" s="7" t="s">
        <v>220</v>
      </c>
      <c r="J15" s="7" t="s">
        <v>195</v>
      </c>
      <c r="K15" s="7" t="s">
        <v>221</v>
      </c>
      <c r="L15" s="7" t="s">
        <v>222</v>
      </c>
      <c r="M15" s="7" t="s">
        <v>223</v>
      </c>
      <c r="N15" s="7" t="s">
        <v>224</v>
      </c>
      <c r="O15" s="7" t="s">
        <v>225</v>
      </c>
      <c r="P15" s="7" t="s">
        <v>226</v>
      </c>
      <c r="Q15" s="7" t="s">
        <v>58</v>
      </c>
      <c r="R15" s="7" t="s">
        <v>227</v>
      </c>
      <c r="S15" s="7" t="s">
        <v>228</v>
      </c>
      <c r="T15" s="7" t="s">
        <v>61</v>
      </c>
      <c r="U15" s="7" t="s">
        <v>229</v>
      </c>
      <c r="V15" s="7" t="s">
        <v>92</v>
      </c>
    </row>
    <row r="16" ht="26" spans="1:22">
      <c r="A16" s="7">
        <v>14</v>
      </c>
      <c r="B16" s="7" t="s">
        <v>162</v>
      </c>
      <c r="C16" s="7" t="s">
        <v>230</v>
      </c>
      <c r="D16" s="7" t="s">
        <v>61</v>
      </c>
      <c r="E16" s="7" t="s">
        <v>231</v>
      </c>
      <c r="F16" s="7" t="s">
        <v>179</v>
      </c>
      <c r="G16" s="7" t="s">
        <v>68</v>
      </c>
      <c r="H16" s="7" t="s">
        <v>69</v>
      </c>
      <c r="I16" s="7" t="s">
        <v>232</v>
      </c>
      <c r="J16" s="7" t="s">
        <v>195</v>
      </c>
      <c r="K16" s="7" t="s">
        <v>233</v>
      </c>
      <c r="L16" s="7" t="s">
        <v>234</v>
      </c>
      <c r="M16" s="7" t="s">
        <v>235</v>
      </c>
      <c r="N16" s="7" t="s">
        <v>236</v>
      </c>
      <c r="O16" s="7" t="s">
        <v>237</v>
      </c>
      <c r="P16" s="7" t="s">
        <v>238</v>
      </c>
      <c r="Q16" s="7" t="s">
        <v>58</v>
      </c>
      <c r="R16" s="7" t="s">
        <v>239</v>
      </c>
      <c r="S16" s="7" t="s">
        <v>240</v>
      </c>
      <c r="T16" s="7" t="s">
        <v>241</v>
      </c>
      <c r="U16" s="7" t="s">
        <v>242</v>
      </c>
      <c r="V16" s="7" t="s">
        <v>63</v>
      </c>
    </row>
    <row r="17" ht="26" spans="1:22">
      <c r="A17" s="7">
        <v>15</v>
      </c>
      <c r="B17" s="7" t="s">
        <v>162</v>
      </c>
      <c r="C17" s="7" t="s">
        <v>243</v>
      </c>
      <c r="D17" s="7" t="s">
        <v>244</v>
      </c>
      <c r="E17" s="7" t="s">
        <v>245</v>
      </c>
      <c r="F17" s="7" t="s">
        <v>179</v>
      </c>
      <c r="G17" s="7" t="s">
        <v>68</v>
      </c>
      <c r="H17" s="7" t="s">
        <v>69</v>
      </c>
      <c r="I17" s="7" t="s">
        <v>246</v>
      </c>
      <c r="J17" s="7" t="s">
        <v>195</v>
      </c>
      <c r="K17" s="7" t="s">
        <v>247</v>
      </c>
      <c r="L17" s="7" t="s">
        <v>248</v>
      </c>
      <c r="M17" s="7" t="s">
        <v>249</v>
      </c>
      <c r="N17" s="7" t="s">
        <v>250</v>
      </c>
      <c r="O17" s="7" t="s">
        <v>251</v>
      </c>
      <c r="P17" s="7" t="s">
        <v>252</v>
      </c>
      <c r="Q17" s="7" t="s">
        <v>58</v>
      </c>
      <c r="R17" s="7" t="s">
        <v>253</v>
      </c>
      <c r="S17" s="7" t="s">
        <v>254</v>
      </c>
      <c r="T17" s="7" t="s">
        <v>61</v>
      </c>
      <c r="U17" s="7" t="s">
        <v>255</v>
      </c>
      <c r="V17" s="7" t="s">
        <v>63</v>
      </c>
    </row>
    <row r="18" ht="26" spans="1:22">
      <c r="A18" s="7">
        <v>16</v>
      </c>
      <c r="B18" s="7" t="s">
        <v>162</v>
      </c>
      <c r="C18" s="7" t="s">
        <v>256</v>
      </c>
      <c r="D18" s="7" t="s">
        <v>61</v>
      </c>
      <c r="E18" s="7" t="s">
        <v>257</v>
      </c>
      <c r="F18" s="7" t="s">
        <v>179</v>
      </c>
      <c r="G18" s="7" t="s">
        <v>68</v>
      </c>
      <c r="H18" s="7" t="s">
        <v>69</v>
      </c>
      <c r="I18" s="7" t="s">
        <v>258</v>
      </c>
      <c r="J18" s="7" t="s">
        <v>195</v>
      </c>
      <c r="K18" s="7" t="s">
        <v>259</v>
      </c>
      <c r="L18" s="7" t="s">
        <v>260</v>
      </c>
      <c r="M18" s="7" t="s">
        <v>261</v>
      </c>
      <c r="N18" s="7" t="s">
        <v>262</v>
      </c>
      <c r="O18" s="7" t="s">
        <v>263</v>
      </c>
      <c r="P18" s="7" t="s">
        <v>264</v>
      </c>
      <c r="Q18" s="7" t="s">
        <v>58</v>
      </c>
      <c r="R18" s="7" t="s">
        <v>265</v>
      </c>
      <c r="S18" s="7" t="s">
        <v>266</v>
      </c>
      <c r="T18" s="7" t="s">
        <v>61</v>
      </c>
      <c r="U18" s="7" t="s">
        <v>267</v>
      </c>
      <c r="V18" s="7" t="s">
        <v>63</v>
      </c>
    </row>
    <row r="19" ht="26" spans="1:22">
      <c r="A19" s="7">
        <v>17</v>
      </c>
      <c r="B19" s="7" t="s">
        <v>162</v>
      </c>
      <c r="C19" s="7" t="s">
        <v>268</v>
      </c>
      <c r="D19" s="7" t="s">
        <v>61</v>
      </c>
      <c r="E19" s="7" t="s">
        <v>269</v>
      </c>
      <c r="F19" s="7" t="s">
        <v>179</v>
      </c>
      <c r="G19" s="7" t="s">
        <v>68</v>
      </c>
      <c r="H19" s="7" t="s">
        <v>69</v>
      </c>
      <c r="I19" s="7" t="s">
        <v>270</v>
      </c>
      <c r="J19" s="7" t="s">
        <v>195</v>
      </c>
      <c r="K19" s="7" t="s">
        <v>271</v>
      </c>
      <c r="L19" s="7" t="s">
        <v>272</v>
      </c>
      <c r="M19" s="7" t="s">
        <v>273</v>
      </c>
      <c r="N19" s="7" t="s">
        <v>274</v>
      </c>
      <c r="O19" s="7" t="s">
        <v>275</v>
      </c>
      <c r="P19" s="7" t="s">
        <v>276</v>
      </c>
      <c r="Q19" s="7" t="s">
        <v>58</v>
      </c>
      <c r="R19" s="7" t="s">
        <v>277</v>
      </c>
      <c r="S19" s="7" t="s">
        <v>278</v>
      </c>
      <c r="T19" s="7" t="s">
        <v>61</v>
      </c>
      <c r="U19" s="7" t="s">
        <v>279</v>
      </c>
      <c r="V19" s="7" t="s">
        <v>63</v>
      </c>
    </row>
    <row r="20" ht="26" spans="1:22">
      <c r="A20" s="7">
        <v>18</v>
      </c>
      <c r="B20" s="7" t="s">
        <v>162</v>
      </c>
      <c r="C20" s="7" t="s">
        <v>280</v>
      </c>
      <c r="D20" s="7" t="s">
        <v>61</v>
      </c>
      <c r="E20" s="7" t="s">
        <v>281</v>
      </c>
      <c r="F20" s="7" t="s">
        <v>179</v>
      </c>
      <c r="G20" s="7" t="s">
        <v>68</v>
      </c>
      <c r="H20" s="7" t="s">
        <v>50</v>
      </c>
      <c r="I20" s="7" t="s">
        <v>282</v>
      </c>
      <c r="J20" s="7" t="s">
        <v>283</v>
      </c>
      <c r="K20" s="7" t="s">
        <v>284</v>
      </c>
      <c r="L20" s="7" t="s">
        <v>285</v>
      </c>
      <c r="M20" s="7" t="s">
        <v>286</v>
      </c>
      <c r="N20" s="7" t="s">
        <v>287</v>
      </c>
      <c r="O20" s="7" t="s">
        <v>288</v>
      </c>
      <c r="P20" s="7" t="s">
        <v>289</v>
      </c>
      <c r="Q20" s="7" t="s">
        <v>58</v>
      </c>
      <c r="R20" s="7" t="s">
        <v>290</v>
      </c>
      <c r="S20" s="7" t="s">
        <v>291</v>
      </c>
      <c r="T20" s="7" t="s">
        <v>61</v>
      </c>
      <c r="U20" s="7" t="s">
        <v>292</v>
      </c>
      <c r="V20" s="7" t="s">
        <v>293</v>
      </c>
    </row>
    <row r="21" ht="26" spans="1:22">
      <c r="A21" s="7">
        <v>19</v>
      </c>
      <c r="B21" s="7" t="s">
        <v>162</v>
      </c>
      <c r="C21" s="7" t="s">
        <v>294</v>
      </c>
      <c r="D21" s="7" t="s">
        <v>295</v>
      </c>
      <c r="E21" s="7" t="s">
        <v>296</v>
      </c>
      <c r="F21" s="7" t="s">
        <v>179</v>
      </c>
      <c r="G21" s="7" t="s">
        <v>68</v>
      </c>
      <c r="H21" s="7" t="s">
        <v>69</v>
      </c>
      <c r="I21" s="7" t="s">
        <v>297</v>
      </c>
      <c r="J21" s="7" t="s">
        <v>195</v>
      </c>
      <c r="K21" s="7" t="s">
        <v>298</v>
      </c>
      <c r="L21" s="7" t="s">
        <v>299</v>
      </c>
      <c r="M21" s="7" t="s">
        <v>300</v>
      </c>
      <c r="N21" s="7" t="s">
        <v>301</v>
      </c>
      <c r="O21" s="7" t="s">
        <v>302</v>
      </c>
      <c r="P21" s="7" t="s">
        <v>303</v>
      </c>
      <c r="Q21" s="7" t="s">
        <v>58</v>
      </c>
      <c r="R21" s="7" t="s">
        <v>304</v>
      </c>
      <c r="S21" s="7" t="s">
        <v>305</v>
      </c>
      <c r="T21" s="7" t="s">
        <v>61</v>
      </c>
      <c r="U21" s="7" t="s">
        <v>306</v>
      </c>
      <c r="V21" s="7" t="s">
        <v>63</v>
      </c>
    </row>
    <row r="22" ht="26" spans="1:22">
      <c r="A22" s="7">
        <v>20</v>
      </c>
      <c r="B22" s="7" t="s">
        <v>162</v>
      </c>
      <c r="C22" s="7" t="s">
        <v>307</v>
      </c>
      <c r="D22" s="7" t="s">
        <v>61</v>
      </c>
      <c r="E22" s="7" t="s">
        <v>308</v>
      </c>
      <c r="F22" s="7" t="s">
        <v>179</v>
      </c>
      <c r="G22" s="7" t="s">
        <v>68</v>
      </c>
      <c r="H22" s="7" t="s">
        <v>207</v>
      </c>
      <c r="I22" s="7" t="s">
        <v>309</v>
      </c>
      <c r="J22" s="7" t="s">
        <v>195</v>
      </c>
      <c r="K22" s="7" t="s">
        <v>310</v>
      </c>
      <c r="L22" s="7" t="s">
        <v>311</v>
      </c>
      <c r="M22" s="7" t="s">
        <v>312</v>
      </c>
      <c r="N22" s="7" t="s">
        <v>313</v>
      </c>
      <c r="O22" s="7" t="s">
        <v>314</v>
      </c>
      <c r="P22" s="7" t="s">
        <v>315</v>
      </c>
      <c r="Q22" s="7" t="s">
        <v>58</v>
      </c>
      <c r="R22" s="7" t="s">
        <v>316</v>
      </c>
      <c r="S22" s="7" t="s">
        <v>317</v>
      </c>
      <c r="T22" s="7" t="s">
        <v>318</v>
      </c>
      <c r="U22" s="7" t="s">
        <v>319</v>
      </c>
      <c r="V22" s="7" t="s">
        <v>132</v>
      </c>
    </row>
    <row r="23" ht="26" spans="1:22">
      <c r="A23" s="7">
        <v>21</v>
      </c>
      <c r="B23" s="7" t="s">
        <v>162</v>
      </c>
      <c r="C23" s="7" t="s">
        <v>320</v>
      </c>
      <c r="D23" s="7" t="s">
        <v>61</v>
      </c>
      <c r="E23" s="7" t="s">
        <v>321</v>
      </c>
      <c r="F23" s="7" t="s">
        <v>179</v>
      </c>
      <c r="G23" s="7" t="s">
        <v>68</v>
      </c>
      <c r="H23" s="7" t="s">
        <v>207</v>
      </c>
      <c r="I23" s="7" t="s">
        <v>322</v>
      </c>
      <c r="J23" s="7" t="s">
        <v>195</v>
      </c>
      <c r="K23" s="7" t="s">
        <v>323</v>
      </c>
      <c r="L23" s="7" t="s">
        <v>324</v>
      </c>
      <c r="M23" s="7" t="s">
        <v>325</v>
      </c>
      <c r="N23" s="7" t="s">
        <v>326</v>
      </c>
      <c r="O23" s="7" t="s">
        <v>327</v>
      </c>
      <c r="P23" s="7" t="s">
        <v>328</v>
      </c>
      <c r="Q23" s="7" t="s">
        <v>58</v>
      </c>
      <c r="R23" s="7" t="s">
        <v>329</v>
      </c>
      <c r="S23" s="7" t="s">
        <v>330</v>
      </c>
      <c r="T23" s="7" t="s">
        <v>61</v>
      </c>
      <c r="U23" s="7" t="s">
        <v>204</v>
      </c>
      <c r="V23" s="7" t="s">
        <v>132</v>
      </c>
    </row>
    <row r="24" ht="26" spans="1:22">
      <c r="A24" s="7">
        <v>22</v>
      </c>
      <c r="B24" s="7" t="s">
        <v>331</v>
      </c>
      <c r="C24" s="7" t="s">
        <v>332</v>
      </c>
      <c r="D24" s="7" t="s">
        <v>61</v>
      </c>
      <c r="E24" s="7" t="s">
        <v>333</v>
      </c>
      <c r="F24" s="7" t="s">
        <v>334</v>
      </c>
      <c r="G24" s="7" t="s">
        <v>49</v>
      </c>
      <c r="H24" s="7" t="s">
        <v>69</v>
      </c>
      <c r="I24" s="7" t="s">
        <v>335</v>
      </c>
      <c r="J24" s="7" t="s">
        <v>336</v>
      </c>
      <c r="K24" s="7" t="s">
        <v>337</v>
      </c>
      <c r="L24" s="7" t="s">
        <v>338</v>
      </c>
      <c r="M24" s="7" t="s">
        <v>339</v>
      </c>
      <c r="N24" s="7" t="s">
        <v>340</v>
      </c>
      <c r="O24" s="7" t="s">
        <v>341</v>
      </c>
      <c r="P24" s="7" t="s">
        <v>342</v>
      </c>
      <c r="Q24" s="7" t="s">
        <v>58</v>
      </c>
      <c r="R24" s="7" t="s">
        <v>343</v>
      </c>
      <c r="S24" s="7" t="s">
        <v>344</v>
      </c>
      <c r="T24" s="7" t="s">
        <v>345</v>
      </c>
      <c r="U24" s="7" t="s">
        <v>62</v>
      </c>
      <c r="V24" s="7" t="s">
        <v>63</v>
      </c>
    </row>
    <row r="25" ht="26" spans="1:22">
      <c r="A25" s="7">
        <v>23</v>
      </c>
      <c r="B25" s="7" t="s">
        <v>331</v>
      </c>
      <c r="C25" s="7" t="s">
        <v>346</v>
      </c>
      <c r="D25" s="7" t="s">
        <v>61</v>
      </c>
      <c r="E25" s="7" t="s">
        <v>347</v>
      </c>
      <c r="F25" s="7" t="s">
        <v>179</v>
      </c>
      <c r="G25" s="7" t="s">
        <v>68</v>
      </c>
      <c r="H25" s="7" t="s">
        <v>50</v>
      </c>
      <c r="I25" s="7" t="s">
        <v>348</v>
      </c>
      <c r="J25" s="7" t="s">
        <v>195</v>
      </c>
      <c r="K25" s="7" t="s">
        <v>349</v>
      </c>
      <c r="L25" s="7" t="s">
        <v>350</v>
      </c>
      <c r="M25" s="7" t="s">
        <v>351</v>
      </c>
      <c r="N25" s="7" t="s">
        <v>352</v>
      </c>
      <c r="O25" s="7" t="s">
        <v>353</v>
      </c>
      <c r="P25" s="7" t="s">
        <v>354</v>
      </c>
      <c r="Q25" s="7" t="s">
        <v>58</v>
      </c>
      <c r="R25" s="7" t="s">
        <v>355</v>
      </c>
      <c r="S25" s="7" t="s">
        <v>356</v>
      </c>
      <c r="T25" s="7" t="s">
        <v>357</v>
      </c>
      <c r="U25" s="7" t="s">
        <v>229</v>
      </c>
      <c r="V25" s="7" t="s">
        <v>63</v>
      </c>
    </row>
    <row r="26" ht="26" spans="1:22">
      <c r="A26" s="7">
        <v>24</v>
      </c>
      <c r="B26" s="7" t="s">
        <v>331</v>
      </c>
      <c r="C26" s="7" t="s">
        <v>358</v>
      </c>
      <c r="D26" s="7" t="s">
        <v>61</v>
      </c>
      <c r="E26" s="7" t="s">
        <v>359</v>
      </c>
      <c r="F26" s="7" t="s">
        <v>360</v>
      </c>
      <c r="G26" s="7" t="s">
        <v>68</v>
      </c>
      <c r="H26" s="7" t="s">
        <v>207</v>
      </c>
      <c r="I26" s="7" t="s">
        <v>361</v>
      </c>
      <c r="J26" s="7" t="s">
        <v>336</v>
      </c>
      <c r="K26" s="7" t="s">
        <v>362</v>
      </c>
      <c r="L26" s="7" t="s">
        <v>363</v>
      </c>
      <c r="M26" s="7" t="s">
        <v>364</v>
      </c>
      <c r="N26" s="7" t="s">
        <v>365</v>
      </c>
      <c r="O26" s="7" t="s">
        <v>366</v>
      </c>
      <c r="P26" s="7" t="s">
        <v>367</v>
      </c>
      <c r="Q26" s="7" t="s">
        <v>58</v>
      </c>
      <c r="R26" s="7" t="s">
        <v>368</v>
      </c>
      <c r="S26" s="7" t="s">
        <v>369</v>
      </c>
      <c r="T26" s="7" t="s">
        <v>61</v>
      </c>
      <c r="U26" s="7" t="s">
        <v>370</v>
      </c>
      <c r="V26" s="7" t="s">
        <v>132</v>
      </c>
    </row>
    <row r="27" ht="26" spans="1:22">
      <c r="A27" s="7">
        <v>25</v>
      </c>
      <c r="B27" s="7" t="s">
        <v>331</v>
      </c>
      <c r="C27" s="7" t="s">
        <v>371</v>
      </c>
      <c r="D27" s="7" t="s">
        <v>61</v>
      </c>
      <c r="E27" s="7" t="s">
        <v>372</v>
      </c>
      <c r="F27" s="7" t="s">
        <v>360</v>
      </c>
      <c r="G27" s="7" t="s">
        <v>68</v>
      </c>
      <c r="H27" s="7" t="s">
        <v>207</v>
      </c>
      <c r="I27" s="7" t="s">
        <v>373</v>
      </c>
      <c r="J27" s="7" t="s">
        <v>336</v>
      </c>
      <c r="K27" s="7" t="s">
        <v>374</v>
      </c>
      <c r="L27" s="7" t="s">
        <v>375</v>
      </c>
      <c r="M27" s="7" t="s">
        <v>376</v>
      </c>
      <c r="N27" s="7" t="s">
        <v>377</v>
      </c>
      <c r="O27" s="7" t="s">
        <v>378</v>
      </c>
      <c r="P27" s="7" t="s">
        <v>379</v>
      </c>
      <c r="Q27" s="7" t="s">
        <v>58</v>
      </c>
      <c r="R27" s="7" t="s">
        <v>380</v>
      </c>
      <c r="S27" s="7" t="s">
        <v>381</v>
      </c>
      <c r="T27" s="7" t="s">
        <v>61</v>
      </c>
      <c r="U27" s="7" t="s">
        <v>382</v>
      </c>
      <c r="V27" s="7" t="s">
        <v>132</v>
      </c>
    </row>
    <row r="28" ht="26" spans="1:22">
      <c r="A28" s="7">
        <v>26</v>
      </c>
      <c r="B28" s="7" t="s">
        <v>331</v>
      </c>
      <c r="C28" s="7" t="s">
        <v>383</v>
      </c>
      <c r="D28" s="7" t="s">
        <v>384</v>
      </c>
      <c r="E28" s="7" t="s">
        <v>385</v>
      </c>
      <c r="F28" s="7" t="s">
        <v>360</v>
      </c>
      <c r="G28" s="7" t="s">
        <v>68</v>
      </c>
      <c r="H28" s="7" t="s">
        <v>69</v>
      </c>
      <c r="I28" s="7" t="s">
        <v>386</v>
      </c>
      <c r="J28" s="7" t="s">
        <v>336</v>
      </c>
      <c r="K28" s="7" t="s">
        <v>387</v>
      </c>
      <c r="L28" s="7" t="s">
        <v>388</v>
      </c>
      <c r="M28" s="7" t="s">
        <v>389</v>
      </c>
      <c r="N28" s="7" t="s">
        <v>390</v>
      </c>
      <c r="O28" s="7" t="s">
        <v>391</v>
      </c>
      <c r="P28" s="7" t="s">
        <v>392</v>
      </c>
      <c r="Q28" s="7" t="s">
        <v>58</v>
      </c>
      <c r="R28" s="7" t="s">
        <v>393</v>
      </c>
      <c r="S28" s="7" t="s">
        <v>394</v>
      </c>
      <c r="T28" s="7" t="s">
        <v>61</v>
      </c>
      <c r="U28" s="7" t="s">
        <v>395</v>
      </c>
      <c r="V28" s="7" t="s">
        <v>63</v>
      </c>
    </row>
    <row r="29" ht="26" spans="1:22">
      <c r="A29" s="7">
        <v>27</v>
      </c>
      <c r="B29" s="7" t="s">
        <v>331</v>
      </c>
      <c r="C29" s="7" t="s">
        <v>396</v>
      </c>
      <c r="D29" s="7" t="s">
        <v>397</v>
      </c>
      <c r="E29" s="7" t="s">
        <v>398</v>
      </c>
      <c r="F29" s="7" t="s">
        <v>360</v>
      </c>
      <c r="G29" s="7" t="s">
        <v>68</v>
      </c>
      <c r="H29" s="7" t="s">
        <v>69</v>
      </c>
      <c r="I29" s="7" t="s">
        <v>399</v>
      </c>
      <c r="J29" s="7" t="s">
        <v>400</v>
      </c>
      <c r="K29" s="7" t="s">
        <v>401</v>
      </c>
      <c r="L29" s="7" t="s">
        <v>402</v>
      </c>
      <c r="M29" s="7" t="s">
        <v>403</v>
      </c>
      <c r="N29" s="7" t="s">
        <v>404</v>
      </c>
      <c r="O29" s="7" t="s">
        <v>405</v>
      </c>
      <c r="P29" s="7" t="s">
        <v>406</v>
      </c>
      <c r="Q29" s="7" t="s">
        <v>58</v>
      </c>
      <c r="R29" s="7" t="s">
        <v>407</v>
      </c>
      <c r="S29" s="7" t="s">
        <v>408</v>
      </c>
      <c r="T29" s="7" t="s">
        <v>61</v>
      </c>
      <c r="U29" s="7" t="s">
        <v>395</v>
      </c>
      <c r="V29" s="7" t="s">
        <v>132</v>
      </c>
    </row>
    <row r="30" ht="26" spans="1:22">
      <c r="A30" s="7">
        <v>28</v>
      </c>
      <c r="B30" s="7" t="s">
        <v>331</v>
      </c>
      <c r="C30" s="7" t="s">
        <v>409</v>
      </c>
      <c r="D30" s="7" t="s">
        <v>61</v>
      </c>
      <c r="E30" s="7" t="s">
        <v>410</v>
      </c>
      <c r="F30" s="7" t="s">
        <v>411</v>
      </c>
      <c r="G30" s="7" t="s">
        <v>68</v>
      </c>
      <c r="H30" s="7" t="s">
        <v>50</v>
      </c>
      <c r="I30" s="7" t="s">
        <v>412</v>
      </c>
      <c r="J30" s="7" t="s">
        <v>336</v>
      </c>
      <c r="K30" s="7" t="s">
        <v>413</v>
      </c>
      <c r="L30" s="7" t="s">
        <v>414</v>
      </c>
      <c r="M30" s="7" t="s">
        <v>415</v>
      </c>
      <c r="N30" s="7" t="s">
        <v>416</v>
      </c>
      <c r="O30" s="7" t="s">
        <v>417</v>
      </c>
      <c r="P30" s="7" t="s">
        <v>418</v>
      </c>
      <c r="Q30" s="7" t="s">
        <v>58</v>
      </c>
      <c r="R30" s="7" t="s">
        <v>419</v>
      </c>
      <c r="S30" s="7" t="s">
        <v>420</v>
      </c>
      <c r="T30" s="7" t="s">
        <v>61</v>
      </c>
      <c r="U30" s="7" t="s">
        <v>421</v>
      </c>
      <c r="V30" s="7" t="s">
        <v>293</v>
      </c>
    </row>
    <row r="31" ht="26" spans="1:22">
      <c r="A31" s="7">
        <v>29</v>
      </c>
      <c r="B31" s="7" t="s">
        <v>422</v>
      </c>
      <c r="C31" s="7" t="s">
        <v>423</v>
      </c>
      <c r="D31" s="7" t="s">
        <v>61</v>
      </c>
      <c r="E31" s="7" t="s">
        <v>424</v>
      </c>
      <c r="F31" s="7" t="s">
        <v>425</v>
      </c>
      <c r="G31" s="7" t="s">
        <v>68</v>
      </c>
      <c r="H31" s="7" t="s">
        <v>207</v>
      </c>
      <c r="I31" s="7" t="s">
        <v>426</v>
      </c>
      <c r="J31" s="7" t="s">
        <v>427</v>
      </c>
      <c r="K31" s="7" t="s">
        <v>428</v>
      </c>
      <c r="L31" s="7" t="s">
        <v>429</v>
      </c>
      <c r="M31" s="7" t="s">
        <v>430</v>
      </c>
      <c r="N31" s="7" t="s">
        <v>431</v>
      </c>
      <c r="O31" s="7" t="s">
        <v>432</v>
      </c>
      <c r="P31" s="7" t="s">
        <v>433</v>
      </c>
      <c r="Q31" s="7" t="s">
        <v>58</v>
      </c>
      <c r="R31" s="7" t="s">
        <v>434</v>
      </c>
      <c r="S31" s="7" t="s">
        <v>435</v>
      </c>
      <c r="T31" s="7" t="s">
        <v>436</v>
      </c>
      <c r="U31" s="7" t="s">
        <v>437</v>
      </c>
      <c r="V31" s="7" t="s">
        <v>132</v>
      </c>
    </row>
    <row r="32" ht="26" spans="1:22">
      <c r="A32" s="7">
        <v>30</v>
      </c>
      <c r="B32" s="7" t="s">
        <v>422</v>
      </c>
      <c r="C32" s="7" t="s">
        <v>438</v>
      </c>
      <c r="D32" s="7" t="s">
        <v>439</v>
      </c>
      <c r="E32" s="7" t="s">
        <v>440</v>
      </c>
      <c r="F32" s="7" t="s">
        <v>441</v>
      </c>
      <c r="G32" s="7" t="s">
        <v>68</v>
      </c>
      <c r="H32" s="7" t="s">
        <v>207</v>
      </c>
      <c r="I32" s="7" t="s">
        <v>442</v>
      </c>
      <c r="J32" s="7" t="s">
        <v>427</v>
      </c>
      <c r="K32" s="7" t="s">
        <v>443</v>
      </c>
      <c r="L32" s="7" t="s">
        <v>444</v>
      </c>
      <c r="M32" s="7" t="s">
        <v>445</v>
      </c>
      <c r="N32" s="7" t="s">
        <v>446</v>
      </c>
      <c r="O32" s="7" t="s">
        <v>447</v>
      </c>
      <c r="P32" s="7" t="s">
        <v>448</v>
      </c>
      <c r="Q32" s="7" t="s">
        <v>58</v>
      </c>
      <c r="R32" s="7" t="s">
        <v>449</v>
      </c>
      <c r="S32" s="7" t="s">
        <v>450</v>
      </c>
      <c r="T32" s="7" t="s">
        <v>451</v>
      </c>
      <c r="U32" s="7" t="s">
        <v>452</v>
      </c>
      <c r="V32" s="7" t="s">
        <v>132</v>
      </c>
    </row>
    <row r="33" ht="39" spans="1:22">
      <c r="A33" s="7">
        <v>31</v>
      </c>
      <c r="B33" s="7" t="s">
        <v>422</v>
      </c>
      <c r="C33" s="7" t="s">
        <v>453</v>
      </c>
      <c r="D33" s="7" t="s">
        <v>61</v>
      </c>
      <c r="E33" s="7" t="s">
        <v>454</v>
      </c>
      <c r="F33" s="7" t="s">
        <v>441</v>
      </c>
      <c r="G33" s="7" t="s">
        <v>68</v>
      </c>
      <c r="H33" s="7" t="s">
        <v>207</v>
      </c>
      <c r="I33" s="7" t="s">
        <v>455</v>
      </c>
      <c r="J33" s="7" t="s">
        <v>427</v>
      </c>
      <c r="K33" s="7" t="s">
        <v>456</v>
      </c>
      <c r="L33" s="7" t="s">
        <v>457</v>
      </c>
      <c r="M33" s="7" t="s">
        <v>458</v>
      </c>
      <c r="N33" s="7" t="s">
        <v>459</v>
      </c>
      <c r="O33" s="7" t="s">
        <v>460</v>
      </c>
      <c r="P33" s="7" t="s">
        <v>461</v>
      </c>
      <c r="Q33" s="7" t="s">
        <v>58</v>
      </c>
      <c r="R33" s="7" t="s">
        <v>462</v>
      </c>
      <c r="S33" s="7" t="s">
        <v>463</v>
      </c>
      <c r="T33" s="7" t="s">
        <v>464</v>
      </c>
      <c r="U33" s="7" t="s">
        <v>465</v>
      </c>
      <c r="V33" s="7" t="s">
        <v>132</v>
      </c>
    </row>
    <row r="34" ht="26" spans="1:22">
      <c r="A34" s="7">
        <v>32</v>
      </c>
      <c r="B34" s="7" t="s">
        <v>422</v>
      </c>
      <c r="C34" s="7" t="s">
        <v>466</v>
      </c>
      <c r="D34" s="7" t="s">
        <v>61</v>
      </c>
      <c r="E34" s="7" t="s">
        <v>467</v>
      </c>
      <c r="F34" s="7" t="s">
        <v>441</v>
      </c>
      <c r="G34" s="7" t="s">
        <v>68</v>
      </c>
      <c r="H34" s="7" t="s">
        <v>69</v>
      </c>
      <c r="I34" s="7" t="s">
        <v>468</v>
      </c>
      <c r="J34" s="7" t="s">
        <v>427</v>
      </c>
      <c r="K34" s="7" t="s">
        <v>469</v>
      </c>
      <c r="L34" s="7" t="s">
        <v>470</v>
      </c>
      <c r="M34" s="7" t="s">
        <v>471</v>
      </c>
      <c r="N34" s="7" t="s">
        <v>472</v>
      </c>
      <c r="O34" s="7" t="s">
        <v>473</v>
      </c>
      <c r="P34" s="7" t="s">
        <v>474</v>
      </c>
      <c r="Q34" s="7" t="s">
        <v>58</v>
      </c>
      <c r="R34" s="7" t="s">
        <v>475</v>
      </c>
      <c r="S34" s="7" t="s">
        <v>476</v>
      </c>
      <c r="T34" s="7" t="s">
        <v>61</v>
      </c>
      <c r="U34" s="7" t="s">
        <v>477</v>
      </c>
      <c r="V34" s="7" t="s">
        <v>63</v>
      </c>
    </row>
    <row r="35" ht="26" spans="1:22">
      <c r="A35" s="7">
        <v>33</v>
      </c>
      <c r="B35" s="7" t="s">
        <v>422</v>
      </c>
      <c r="C35" s="7" t="s">
        <v>478</v>
      </c>
      <c r="D35" s="7" t="s">
        <v>479</v>
      </c>
      <c r="E35" s="7" t="s">
        <v>480</v>
      </c>
      <c r="F35" s="7" t="s">
        <v>67</v>
      </c>
      <c r="G35" s="7" t="s">
        <v>68</v>
      </c>
      <c r="H35" s="7" t="s">
        <v>69</v>
      </c>
      <c r="I35" s="7" t="s">
        <v>481</v>
      </c>
      <c r="J35" s="7" t="s">
        <v>482</v>
      </c>
      <c r="K35" s="7" t="s">
        <v>483</v>
      </c>
      <c r="L35" s="7" t="s">
        <v>484</v>
      </c>
      <c r="M35" s="7" t="s">
        <v>485</v>
      </c>
      <c r="N35" s="7" t="s">
        <v>486</v>
      </c>
      <c r="O35" s="7" t="s">
        <v>487</v>
      </c>
      <c r="P35" s="7" t="s">
        <v>488</v>
      </c>
      <c r="Q35" s="7" t="s">
        <v>58</v>
      </c>
      <c r="R35" s="7" t="s">
        <v>489</v>
      </c>
      <c r="S35" s="7" t="s">
        <v>490</v>
      </c>
      <c r="T35" s="7" t="s">
        <v>61</v>
      </c>
      <c r="U35" s="7" t="s">
        <v>491</v>
      </c>
      <c r="V35" s="7" t="s">
        <v>63</v>
      </c>
    </row>
    <row r="36" ht="26" spans="1:22">
      <c r="A36" s="7">
        <v>34</v>
      </c>
      <c r="B36" s="7" t="s">
        <v>422</v>
      </c>
      <c r="C36" s="7" t="s">
        <v>492</v>
      </c>
      <c r="D36" s="7" t="s">
        <v>61</v>
      </c>
      <c r="E36" s="7" t="s">
        <v>493</v>
      </c>
      <c r="F36" s="7" t="s">
        <v>67</v>
      </c>
      <c r="G36" s="7" t="s">
        <v>68</v>
      </c>
      <c r="H36" s="7" t="s">
        <v>69</v>
      </c>
      <c r="I36" s="7" t="s">
        <v>494</v>
      </c>
      <c r="J36" s="7" t="s">
        <v>482</v>
      </c>
      <c r="K36" s="7" t="s">
        <v>495</v>
      </c>
      <c r="L36" s="7" t="s">
        <v>496</v>
      </c>
      <c r="M36" s="7" t="s">
        <v>497</v>
      </c>
      <c r="N36" s="7" t="s">
        <v>498</v>
      </c>
      <c r="O36" s="7" t="s">
        <v>499</v>
      </c>
      <c r="P36" s="7" t="s">
        <v>500</v>
      </c>
      <c r="Q36" s="7" t="s">
        <v>58</v>
      </c>
      <c r="R36" s="7" t="s">
        <v>501</v>
      </c>
      <c r="S36" s="7" t="s">
        <v>502</v>
      </c>
      <c r="T36" s="7" t="s">
        <v>61</v>
      </c>
      <c r="U36" s="7" t="s">
        <v>503</v>
      </c>
      <c r="V36" s="7" t="s">
        <v>63</v>
      </c>
    </row>
    <row r="37" ht="26" spans="1:22">
      <c r="A37" s="7">
        <v>35</v>
      </c>
      <c r="B37" s="7" t="s">
        <v>422</v>
      </c>
      <c r="C37" s="7" t="s">
        <v>504</v>
      </c>
      <c r="D37" s="7" t="s">
        <v>505</v>
      </c>
      <c r="E37" s="7" t="s">
        <v>506</v>
      </c>
      <c r="F37" s="7" t="s">
        <v>507</v>
      </c>
      <c r="G37" s="7" t="s">
        <v>68</v>
      </c>
      <c r="H37" s="7" t="s">
        <v>50</v>
      </c>
      <c r="I37" s="7" t="s">
        <v>508</v>
      </c>
      <c r="J37" s="7" t="s">
        <v>427</v>
      </c>
      <c r="K37" s="7" t="s">
        <v>509</v>
      </c>
      <c r="L37" s="7" t="s">
        <v>510</v>
      </c>
      <c r="M37" s="7" t="s">
        <v>511</v>
      </c>
      <c r="N37" s="7" t="s">
        <v>512</v>
      </c>
      <c r="O37" s="7" t="s">
        <v>513</v>
      </c>
      <c r="P37" s="7" t="s">
        <v>514</v>
      </c>
      <c r="Q37" s="7" t="s">
        <v>58</v>
      </c>
      <c r="R37" s="7" t="s">
        <v>515</v>
      </c>
      <c r="S37" s="7" t="s">
        <v>516</v>
      </c>
      <c r="T37" s="7" t="s">
        <v>517</v>
      </c>
      <c r="U37" s="7" t="s">
        <v>518</v>
      </c>
      <c r="V37" s="7" t="s">
        <v>132</v>
      </c>
    </row>
    <row r="38" ht="26" spans="1:22">
      <c r="A38" s="7">
        <v>36</v>
      </c>
      <c r="B38" s="7" t="s">
        <v>422</v>
      </c>
      <c r="C38" s="7" t="s">
        <v>519</v>
      </c>
      <c r="D38" s="7" t="s">
        <v>61</v>
      </c>
      <c r="E38" s="7" t="s">
        <v>520</v>
      </c>
      <c r="F38" s="7" t="s">
        <v>521</v>
      </c>
      <c r="G38" s="7" t="s">
        <v>68</v>
      </c>
      <c r="H38" s="7" t="s">
        <v>69</v>
      </c>
      <c r="I38" s="7" t="s">
        <v>522</v>
      </c>
      <c r="J38" s="7" t="s">
        <v>523</v>
      </c>
      <c r="K38" s="7" t="s">
        <v>524</v>
      </c>
      <c r="L38" s="7" t="s">
        <v>525</v>
      </c>
      <c r="M38" s="7" t="s">
        <v>526</v>
      </c>
      <c r="N38" s="7" t="s">
        <v>527</v>
      </c>
      <c r="O38" s="7" t="s">
        <v>528</v>
      </c>
      <c r="P38" s="7" t="s">
        <v>529</v>
      </c>
      <c r="Q38" s="7" t="s">
        <v>58</v>
      </c>
      <c r="R38" s="7" t="s">
        <v>530</v>
      </c>
      <c r="S38" s="7" t="s">
        <v>531</v>
      </c>
      <c r="T38" s="7" t="s">
        <v>61</v>
      </c>
      <c r="U38" s="7" t="s">
        <v>532</v>
      </c>
      <c r="V38" s="7" t="s">
        <v>132</v>
      </c>
    </row>
    <row r="39" ht="26" spans="1:22">
      <c r="A39" s="7">
        <v>37</v>
      </c>
      <c r="B39" s="7" t="s">
        <v>422</v>
      </c>
      <c r="C39" s="7" t="s">
        <v>533</v>
      </c>
      <c r="D39" s="7" t="s">
        <v>61</v>
      </c>
      <c r="E39" s="7" t="s">
        <v>534</v>
      </c>
      <c r="F39" s="7" t="s">
        <v>441</v>
      </c>
      <c r="G39" s="7" t="s">
        <v>68</v>
      </c>
      <c r="H39" s="7" t="s">
        <v>69</v>
      </c>
      <c r="I39" s="7" t="s">
        <v>535</v>
      </c>
      <c r="J39" s="7" t="s">
        <v>283</v>
      </c>
      <c r="K39" s="7" t="s">
        <v>536</v>
      </c>
      <c r="L39" s="7" t="s">
        <v>537</v>
      </c>
      <c r="M39" s="7" t="s">
        <v>538</v>
      </c>
      <c r="N39" s="7" t="s">
        <v>539</v>
      </c>
      <c r="O39" s="7" t="s">
        <v>540</v>
      </c>
      <c r="P39" s="7" t="s">
        <v>541</v>
      </c>
      <c r="Q39" s="7" t="s">
        <v>58</v>
      </c>
      <c r="R39" s="7" t="s">
        <v>542</v>
      </c>
      <c r="S39" s="7" t="s">
        <v>543</v>
      </c>
      <c r="T39" s="7" t="s">
        <v>61</v>
      </c>
      <c r="U39" s="7" t="s">
        <v>544</v>
      </c>
      <c r="V39" s="7" t="s">
        <v>293</v>
      </c>
    </row>
    <row r="40" ht="26" spans="1:22">
      <c r="A40" s="7">
        <v>38</v>
      </c>
      <c r="B40" s="7" t="s">
        <v>422</v>
      </c>
      <c r="C40" s="7" t="s">
        <v>545</v>
      </c>
      <c r="D40" s="7" t="s">
        <v>546</v>
      </c>
      <c r="E40" s="7" t="s">
        <v>547</v>
      </c>
      <c r="F40" s="7" t="s">
        <v>67</v>
      </c>
      <c r="G40" s="7" t="s">
        <v>68</v>
      </c>
      <c r="H40" s="7" t="s">
        <v>69</v>
      </c>
      <c r="I40" s="7" t="s">
        <v>548</v>
      </c>
      <c r="J40" s="7" t="s">
        <v>427</v>
      </c>
      <c r="K40" s="7" t="s">
        <v>549</v>
      </c>
      <c r="L40" s="7" t="s">
        <v>550</v>
      </c>
      <c r="M40" s="7" t="s">
        <v>551</v>
      </c>
      <c r="N40" s="7" t="s">
        <v>552</v>
      </c>
      <c r="O40" s="7" t="s">
        <v>553</v>
      </c>
      <c r="P40" s="7" t="s">
        <v>554</v>
      </c>
      <c r="Q40" s="7" t="s">
        <v>58</v>
      </c>
      <c r="R40" s="7" t="s">
        <v>555</v>
      </c>
      <c r="S40" s="7" t="s">
        <v>556</v>
      </c>
      <c r="T40" s="7" t="s">
        <v>61</v>
      </c>
      <c r="U40" s="7" t="s">
        <v>557</v>
      </c>
      <c r="V40" s="7" t="s">
        <v>132</v>
      </c>
    </row>
    <row r="41" ht="26" spans="1:22">
      <c r="A41" s="7">
        <v>39</v>
      </c>
      <c r="B41" s="7" t="s">
        <v>558</v>
      </c>
      <c r="C41" s="7" t="s">
        <v>559</v>
      </c>
      <c r="D41" s="7" t="s">
        <v>61</v>
      </c>
      <c r="E41" s="7" t="s">
        <v>560</v>
      </c>
      <c r="F41" s="7" t="s">
        <v>561</v>
      </c>
      <c r="G41" s="7" t="s">
        <v>68</v>
      </c>
      <c r="H41" s="7" t="s">
        <v>69</v>
      </c>
      <c r="I41" s="7" t="s">
        <v>562</v>
      </c>
      <c r="J41" s="7" t="s">
        <v>563</v>
      </c>
      <c r="K41" s="7" t="s">
        <v>564</v>
      </c>
      <c r="L41" s="7" t="s">
        <v>565</v>
      </c>
      <c r="M41" s="7" t="s">
        <v>566</v>
      </c>
      <c r="N41" s="7" t="s">
        <v>567</v>
      </c>
      <c r="O41" s="7" t="s">
        <v>568</v>
      </c>
      <c r="P41" s="7" t="s">
        <v>569</v>
      </c>
      <c r="Q41" s="7" t="s">
        <v>58</v>
      </c>
      <c r="R41" s="7" t="s">
        <v>570</v>
      </c>
      <c r="S41" s="7" t="s">
        <v>571</v>
      </c>
      <c r="T41" s="7" t="s">
        <v>61</v>
      </c>
      <c r="U41" s="7" t="s">
        <v>572</v>
      </c>
      <c r="V41" s="7" t="s">
        <v>63</v>
      </c>
    </row>
    <row r="42" ht="26" spans="1:22">
      <c r="A42" s="7">
        <v>40</v>
      </c>
      <c r="B42" s="7" t="s">
        <v>558</v>
      </c>
      <c r="C42" s="7" t="s">
        <v>573</v>
      </c>
      <c r="D42" s="7" t="s">
        <v>574</v>
      </c>
      <c r="E42" s="7" t="s">
        <v>575</v>
      </c>
      <c r="F42" s="7" t="s">
        <v>561</v>
      </c>
      <c r="G42" s="7" t="s">
        <v>68</v>
      </c>
      <c r="H42" s="7" t="s">
        <v>207</v>
      </c>
      <c r="I42" s="7" t="s">
        <v>576</v>
      </c>
      <c r="J42" s="7" t="s">
        <v>563</v>
      </c>
      <c r="K42" s="7" t="s">
        <v>577</v>
      </c>
      <c r="L42" s="7" t="s">
        <v>578</v>
      </c>
      <c r="M42" s="7" t="s">
        <v>579</v>
      </c>
      <c r="N42" s="7" t="s">
        <v>580</v>
      </c>
      <c r="O42" s="7" t="s">
        <v>581</v>
      </c>
      <c r="P42" s="7" t="s">
        <v>582</v>
      </c>
      <c r="Q42" s="7" t="s">
        <v>58</v>
      </c>
      <c r="R42" s="7" t="s">
        <v>583</v>
      </c>
      <c r="S42" s="7" t="s">
        <v>584</v>
      </c>
      <c r="T42" s="7" t="s">
        <v>585</v>
      </c>
      <c r="U42" s="7" t="s">
        <v>572</v>
      </c>
      <c r="V42" s="7" t="s">
        <v>132</v>
      </c>
    </row>
    <row r="43" ht="26" spans="1:22">
      <c r="A43" s="7">
        <v>41</v>
      </c>
      <c r="B43" s="7" t="s">
        <v>558</v>
      </c>
      <c r="C43" s="7" t="s">
        <v>586</v>
      </c>
      <c r="D43" s="7" t="s">
        <v>61</v>
      </c>
      <c r="E43" s="7" t="s">
        <v>587</v>
      </c>
      <c r="F43" s="7" t="s">
        <v>561</v>
      </c>
      <c r="G43" s="7" t="s">
        <v>68</v>
      </c>
      <c r="H43" s="7" t="s">
        <v>69</v>
      </c>
      <c r="I43" s="7" t="s">
        <v>588</v>
      </c>
      <c r="J43" s="7" t="s">
        <v>563</v>
      </c>
      <c r="K43" s="7" t="s">
        <v>589</v>
      </c>
      <c r="L43" s="7" t="s">
        <v>590</v>
      </c>
      <c r="M43" s="7" t="s">
        <v>591</v>
      </c>
      <c r="N43" s="7" t="s">
        <v>592</v>
      </c>
      <c r="O43" s="7" t="s">
        <v>593</v>
      </c>
      <c r="P43" s="7" t="s">
        <v>594</v>
      </c>
      <c r="Q43" s="7" t="s">
        <v>58</v>
      </c>
      <c r="R43" s="7" t="s">
        <v>595</v>
      </c>
      <c r="S43" s="7" t="s">
        <v>596</v>
      </c>
      <c r="T43" s="7" t="s">
        <v>597</v>
      </c>
      <c r="U43" s="7" t="s">
        <v>598</v>
      </c>
      <c r="V43" s="7" t="s">
        <v>132</v>
      </c>
    </row>
    <row r="44" ht="26" spans="1:22">
      <c r="A44" s="7">
        <v>42</v>
      </c>
      <c r="B44" s="7" t="s">
        <v>558</v>
      </c>
      <c r="C44" s="7" t="s">
        <v>599</v>
      </c>
      <c r="D44" s="7" t="s">
        <v>61</v>
      </c>
      <c r="E44" s="7" t="s">
        <v>600</v>
      </c>
      <c r="F44" s="7" t="s">
        <v>561</v>
      </c>
      <c r="G44" s="7" t="s">
        <v>68</v>
      </c>
      <c r="H44" s="7" t="s">
        <v>207</v>
      </c>
      <c r="I44" s="7" t="s">
        <v>601</v>
      </c>
      <c r="J44" s="7" t="s">
        <v>563</v>
      </c>
      <c r="K44" s="7" t="s">
        <v>602</v>
      </c>
      <c r="L44" s="7" t="s">
        <v>603</v>
      </c>
      <c r="M44" s="7" t="s">
        <v>604</v>
      </c>
      <c r="N44" s="7" t="s">
        <v>605</v>
      </c>
      <c r="O44" s="7" t="s">
        <v>606</v>
      </c>
      <c r="P44" s="7" t="s">
        <v>607</v>
      </c>
      <c r="Q44" s="7" t="s">
        <v>58</v>
      </c>
      <c r="R44" s="7" t="s">
        <v>608</v>
      </c>
      <c r="S44" s="7" t="s">
        <v>609</v>
      </c>
      <c r="T44" s="7" t="s">
        <v>61</v>
      </c>
      <c r="U44" s="7" t="s">
        <v>572</v>
      </c>
      <c r="V44" s="7" t="s">
        <v>132</v>
      </c>
    </row>
    <row r="45" ht="26" spans="1:22">
      <c r="A45" s="7">
        <v>43</v>
      </c>
      <c r="B45" s="7" t="s">
        <v>558</v>
      </c>
      <c r="C45" s="7" t="s">
        <v>610</v>
      </c>
      <c r="D45" s="7" t="s">
        <v>61</v>
      </c>
      <c r="E45" s="7" t="s">
        <v>611</v>
      </c>
      <c r="F45" s="7" t="s">
        <v>561</v>
      </c>
      <c r="G45" s="7" t="s">
        <v>68</v>
      </c>
      <c r="H45" s="7" t="s">
        <v>69</v>
      </c>
      <c r="I45" s="7" t="s">
        <v>612</v>
      </c>
      <c r="J45" s="7" t="s">
        <v>563</v>
      </c>
      <c r="K45" s="7" t="s">
        <v>613</v>
      </c>
      <c r="L45" s="7" t="s">
        <v>614</v>
      </c>
      <c r="M45" s="7" t="s">
        <v>615</v>
      </c>
      <c r="N45" s="7" t="s">
        <v>616</v>
      </c>
      <c r="O45" s="7" t="s">
        <v>617</v>
      </c>
      <c r="P45" s="7" t="s">
        <v>618</v>
      </c>
      <c r="Q45" s="7" t="s">
        <v>58</v>
      </c>
      <c r="R45" s="7" t="s">
        <v>619</v>
      </c>
      <c r="S45" s="7" t="s">
        <v>620</v>
      </c>
      <c r="T45" s="7" t="s">
        <v>61</v>
      </c>
      <c r="U45" s="7" t="s">
        <v>621</v>
      </c>
      <c r="V45" s="7" t="s">
        <v>132</v>
      </c>
    </row>
    <row r="46" ht="26" spans="1:22">
      <c r="A46" s="7">
        <v>44</v>
      </c>
      <c r="B46" s="7" t="s">
        <v>558</v>
      </c>
      <c r="C46" s="7" t="s">
        <v>622</v>
      </c>
      <c r="D46" s="7" t="s">
        <v>61</v>
      </c>
      <c r="E46" s="7" t="s">
        <v>623</v>
      </c>
      <c r="F46" s="7" t="s">
        <v>561</v>
      </c>
      <c r="G46" s="7" t="s">
        <v>68</v>
      </c>
      <c r="H46" s="7" t="s">
        <v>69</v>
      </c>
      <c r="I46" s="7" t="s">
        <v>624</v>
      </c>
      <c r="J46" s="7" t="s">
        <v>563</v>
      </c>
      <c r="K46" s="7" t="s">
        <v>625</v>
      </c>
      <c r="L46" s="7" t="s">
        <v>626</v>
      </c>
      <c r="M46" s="7" t="s">
        <v>627</v>
      </c>
      <c r="N46" s="7" t="s">
        <v>628</v>
      </c>
      <c r="O46" s="7" t="s">
        <v>629</v>
      </c>
      <c r="P46" s="7" t="s">
        <v>630</v>
      </c>
      <c r="Q46" s="7" t="s">
        <v>58</v>
      </c>
      <c r="R46" s="7" t="s">
        <v>631</v>
      </c>
      <c r="S46" s="7" t="s">
        <v>632</v>
      </c>
      <c r="T46" s="7" t="s">
        <v>61</v>
      </c>
      <c r="U46" s="7" t="s">
        <v>633</v>
      </c>
      <c r="V46" s="7" t="s">
        <v>63</v>
      </c>
    </row>
    <row r="47" ht="26" spans="1:22">
      <c r="A47" s="7">
        <v>45</v>
      </c>
      <c r="B47" s="7" t="s">
        <v>558</v>
      </c>
      <c r="C47" s="7" t="s">
        <v>634</v>
      </c>
      <c r="D47" s="7" t="s">
        <v>61</v>
      </c>
      <c r="E47" s="7" t="s">
        <v>635</v>
      </c>
      <c r="F47" s="7" t="s">
        <v>561</v>
      </c>
      <c r="G47" s="7" t="s">
        <v>68</v>
      </c>
      <c r="H47" s="7" t="s">
        <v>69</v>
      </c>
      <c r="I47" s="7" t="s">
        <v>636</v>
      </c>
      <c r="J47" s="7" t="s">
        <v>563</v>
      </c>
      <c r="K47" s="7" t="s">
        <v>637</v>
      </c>
      <c r="L47" s="7" t="s">
        <v>638</v>
      </c>
      <c r="M47" s="7" t="s">
        <v>639</v>
      </c>
      <c r="N47" s="7" t="s">
        <v>640</v>
      </c>
      <c r="O47" s="7" t="s">
        <v>641</v>
      </c>
      <c r="P47" s="7" t="s">
        <v>642</v>
      </c>
      <c r="Q47" s="7" t="s">
        <v>58</v>
      </c>
      <c r="R47" s="7" t="s">
        <v>643</v>
      </c>
      <c r="S47" s="7" t="s">
        <v>644</v>
      </c>
      <c r="T47" s="7" t="s">
        <v>61</v>
      </c>
      <c r="U47" s="7" t="s">
        <v>645</v>
      </c>
      <c r="V47" s="7" t="s">
        <v>63</v>
      </c>
    </row>
    <row r="48" ht="26" spans="1:22">
      <c r="A48" s="7">
        <v>46</v>
      </c>
      <c r="B48" s="7" t="s">
        <v>558</v>
      </c>
      <c r="C48" s="7" t="s">
        <v>646</v>
      </c>
      <c r="D48" s="7" t="s">
        <v>61</v>
      </c>
      <c r="E48" s="7" t="s">
        <v>647</v>
      </c>
      <c r="F48" s="7" t="s">
        <v>561</v>
      </c>
      <c r="G48" s="7" t="s">
        <v>68</v>
      </c>
      <c r="H48" s="7" t="s">
        <v>50</v>
      </c>
      <c r="I48" s="7" t="s">
        <v>648</v>
      </c>
      <c r="J48" s="7" t="s">
        <v>400</v>
      </c>
      <c r="K48" s="7" t="s">
        <v>649</v>
      </c>
      <c r="L48" s="7" t="s">
        <v>650</v>
      </c>
      <c r="M48" s="7" t="s">
        <v>651</v>
      </c>
      <c r="N48" s="7" t="s">
        <v>652</v>
      </c>
      <c r="O48" s="7" t="s">
        <v>653</v>
      </c>
      <c r="P48" s="7" t="s">
        <v>654</v>
      </c>
      <c r="Q48" s="7" t="s">
        <v>58</v>
      </c>
      <c r="R48" s="7" t="s">
        <v>655</v>
      </c>
      <c r="S48" s="7" t="s">
        <v>656</v>
      </c>
      <c r="T48" s="7" t="s">
        <v>657</v>
      </c>
      <c r="U48" s="7" t="s">
        <v>658</v>
      </c>
      <c r="V48" s="7" t="s">
        <v>293</v>
      </c>
    </row>
    <row r="49" ht="26" spans="1:22">
      <c r="A49" s="7">
        <v>47</v>
      </c>
      <c r="B49" s="7" t="s">
        <v>659</v>
      </c>
      <c r="C49" s="7" t="s">
        <v>660</v>
      </c>
      <c r="D49" s="7" t="s">
        <v>61</v>
      </c>
      <c r="E49" s="7" t="s">
        <v>661</v>
      </c>
      <c r="F49" s="7" t="s">
        <v>662</v>
      </c>
      <c r="G49" s="7" t="s">
        <v>68</v>
      </c>
      <c r="H49" s="7" t="s">
        <v>50</v>
      </c>
      <c r="I49" s="7" t="s">
        <v>663</v>
      </c>
      <c r="J49" s="7" t="s">
        <v>664</v>
      </c>
      <c r="K49" s="7" t="s">
        <v>665</v>
      </c>
      <c r="L49" s="7" t="s">
        <v>666</v>
      </c>
      <c r="M49" s="7" t="s">
        <v>667</v>
      </c>
      <c r="N49" s="7" t="s">
        <v>668</v>
      </c>
      <c r="O49" s="7" t="s">
        <v>669</v>
      </c>
      <c r="P49" s="7" t="s">
        <v>670</v>
      </c>
      <c r="Q49" s="7" t="s">
        <v>58</v>
      </c>
      <c r="R49" s="7" t="s">
        <v>671</v>
      </c>
      <c r="S49" s="7" t="s">
        <v>672</v>
      </c>
      <c r="T49" s="7" t="s">
        <v>673</v>
      </c>
      <c r="U49" s="7" t="s">
        <v>674</v>
      </c>
      <c r="V49" s="7" t="s">
        <v>293</v>
      </c>
    </row>
    <row r="50" ht="26" spans="1:22">
      <c r="A50" s="7">
        <v>48</v>
      </c>
      <c r="B50" s="7" t="s">
        <v>659</v>
      </c>
      <c r="C50" s="7" t="s">
        <v>675</v>
      </c>
      <c r="D50" s="7" t="s">
        <v>61</v>
      </c>
      <c r="E50" s="7" t="s">
        <v>676</v>
      </c>
      <c r="F50" s="7" t="s">
        <v>360</v>
      </c>
      <c r="G50" s="7" t="s">
        <v>68</v>
      </c>
      <c r="H50" s="7" t="s">
        <v>50</v>
      </c>
      <c r="I50" s="7" t="s">
        <v>677</v>
      </c>
      <c r="J50" s="7" t="s">
        <v>664</v>
      </c>
      <c r="K50" s="7" t="s">
        <v>678</v>
      </c>
      <c r="L50" s="7" t="s">
        <v>679</v>
      </c>
      <c r="M50" s="7" t="s">
        <v>680</v>
      </c>
      <c r="N50" s="7" t="s">
        <v>681</v>
      </c>
      <c r="O50" s="7" t="s">
        <v>682</v>
      </c>
      <c r="P50" s="7" t="s">
        <v>683</v>
      </c>
      <c r="Q50" s="7" t="s">
        <v>58</v>
      </c>
      <c r="R50" s="7" t="s">
        <v>684</v>
      </c>
      <c r="S50" s="7" t="s">
        <v>685</v>
      </c>
      <c r="T50" s="7" t="s">
        <v>61</v>
      </c>
      <c r="U50" s="7" t="s">
        <v>686</v>
      </c>
      <c r="V50" s="7" t="s">
        <v>293</v>
      </c>
    </row>
    <row r="51" ht="26" spans="1:22">
      <c r="A51" s="7">
        <v>49</v>
      </c>
      <c r="B51" s="7" t="s">
        <v>659</v>
      </c>
      <c r="C51" s="7" t="s">
        <v>687</v>
      </c>
      <c r="D51" s="7" t="s">
        <v>61</v>
      </c>
      <c r="E51" s="7" t="s">
        <v>688</v>
      </c>
      <c r="F51" s="7" t="s">
        <v>662</v>
      </c>
      <c r="G51" s="7" t="s">
        <v>68</v>
      </c>
      <c r="H51" s="7" t="s">
        <v>207</v>
      </c>
      <c r="I51" s="7" t="s">
        <v>689</v>
      </c>
      <c r="J51" s="7" t="s">
        <v>664</v>
      </c>
      <c r="K51" s="7" t="s">
        <v>690</v>
      </c>
      <c r="L51" s="7" t="s">
        <v>691</v>
      </c>
      <c r="M51" s="7" t="s">
        <v>692</v>
      </c>
      <c r="N51" s="7" t="s">
        <v>693</v>
      </c>
      <c r="O51" s="7" t="s">
        <v>694</v>
      </c>
      <c r="P51" s="7" t="s">
        <v>695</v>
      </c>
      <c r="Q51" s="7" t="s">
        <v>58</v>
      </c>
      <c r="R51" s="7" t="s">
        <v>696</v>
      </c>
      <c r="S51" s="7" t="s">
        <v>697</v>
      </c>
      <c r="T51" s="7" t="s">
        <v>61</v>
      </c>
      <c r="U51" s="7" t="s">
        <v>698</v>
      </c>
      <c r="V51" s="7" t="s">
        <v>63</v>
      </c>
    </row>
    <row r="52" ht="26" spans="1:22">
      <c r="A52" s="7">
        <v>50</v>
      </c>
      <c r="B52" s="7" t="s">
        <v>659</v>
      </c>
      <c r="C52" s="7" t="s">
        <v>699</v>
      </c>
      <c r="D52" s="7" t="s">
        <v>61</v>
      </c>
      <c r="E52" s="7" t="s">
        <v>700</v>
      </c>
      <c r="F52" s="7" t="s">
        <v>662</v>
      </c>
      <c r="G52" s="7" t="s">
        <v>68</v>
      </c>
      <c r="H52" s="7" t="s">
        <v>50</v>
      </c>
      <c r="I52" s="7" t="s">
        <v>701</v>
      </c>
      <c r="J52" s="7" t="s">
        <v>664</v>
      </c>
      <c r="K52" s="7" t="s">
        <v>702</v>
      </c>
      <c r="L52" s="7" t="s">
        <v>703</v>
      </c>
      <c r="M52" s="7" t="s">
        <v>704</v>
      </c>
      <c r="N52" s="7" t="s">
        <v>705</v>
      </c>
      <c r="O52" s="7" t="s">
        <v>706</v>
      </c>
      <c r="P52" s="7" t="s">
        <v>707</v>
      </c>
      <c r="Q52" s="7" t="s">
        <v>58</v>
      </c>
      <c r="R52" s="7" t="s">
        <v>708</v>
      </c>
      <c r="S52" s="7" t="s">
        <v>709</v>
      </c>
      <c r="T52" s="7" t="s">
        <v>61</v>
      </c>
      <c r="U52" s="7" t="s">
        <v>698</v>
      </c>
      <c r="V52" s="7" t="s">
        <v>63</v>
      </c>
    </row>
    <row r="53" ht="26" spans="1:22">
      <c r="A53" s="7">
        <v>51</v>
      </c>
      <c r="B53" s="7" t="s">
        <v>659</v>
      </c>
      <c r="C53" s="7" t="s">
        <v>710</v>
      </c>
      <c r="D53" s="7" t="s">
        <v>61</v>
      </c>
      <c r="E53" s="7" t="s">
        <v>711</v>
      </c>
      <c r="F53" s="7" t="s">
        <v>662</v>
      </c>
      <c r="G53" s="7" t="s">
        <v>68</v>
      </c>
      <c r="H53" s="7" t="s">
        <v>207</v>
      </c>
      <c r="I53" s="7" t="s">
        <v>712</v>
      </c>
      <c r="J53" s="7" t="s">
        <v>283</v>
      </c>
      <c r="K53" s="7" t="s">
        <v>713</v>
      </c>
      <c r="L53" s="7" t="s">
        <v>714</v>
      </c>
      <c r="M53" s="7" t="s">
        <v>715</v>
      </c>
      <c r="N53" s="7" t="s">
        <v>716</v>
      </c>
      <c r="O53" s="7" t="s">
        <v>717</v>
      </c>
      <c r="P53" s="7" t="s">
        <v>718</v>
      </c>
      <c r="Q53" s="7" t="s">
        <v>58</v>
      </c>
      <c r="R53" s="7" t="s">
        <v>719</v>
      </c>
      <c r="S53" s="7" t="s">
        <v>720</v>
      </c>
      <c r="T53" s="7" t="s">
        <v>61</v>
      </c>
      <c r="U53" s="7" t="s">
        <v>721</v>
      </c>
      <c r="V53" s="7" t="s">
        <v>293</v>
      </c>
    </row>
    <row r="54" ht="26" spans="1:22">
      <c r="A54" s="7">
        <v>52</v>
      </c>
      <c r="B54" s="7" t="s">
        <v>722</v>
      </c>
      <c r="C54" s="7" t="s">
        <v>723</v>
      </c>
      <c r="D54" s="7" t="s">
        <v>61</v>
      </c>
      <c r="E54" s="7" t="s">
        <v>724</v>
      </c>
      <c r="F54" s="7" t="s">
        <v>725</v>
      </c>
      <c r="G54" s="7" t="s">
        <v>68</v>
      </c>
      <c r="H54" s="7" t="s">
        <v>50</v>
      </c>
      <c r="I54" s="7" t="s">
        <v>726</v>
      </c>
      <c r="J54" s="7" t="s">
        <v>167</v>
      </c>
      <c r="K54" s="7" t="s">
        <v>727</v>
      </c>
      <c r="L54" s="7" t="s">
        <v>728</v>
      </c>
      <c r="M54" s="7" t="s">
        <v>729</v>
      </c>
      <c r="N54" s="7" t="s">
        <v>730</v>
      </c>
      <c r="O54" s="7" t="s">
        <v>731</v>
      </c>
      <c r="P54" s="7" t="s">
        <v>732</v>
      </c>
      <c r="Q54" s="7" t="s">
        <v>58</v>
      </c>
      <c r="R54" s="7" t="s">
        <v>733</v>
      </c>
      <c r="S54" s="7" t="s">
        <v>734</v>
      </c>
      <c r="T54" s="7" t="s">
        <v>61</v>
      </c>
      <c r="U54" s="7" t="s">
        <v>146</v>
      </c>
      <c r="V54" s="7" t="s">
        <v>63</v>
      </c>
    </row>
    <row r="55" ht="26" spans="1:22">
      <c r="A55" s="7">
        <v>53</v>
      </c>
      <c r="B55" s="7" t="s">
        <v>722</v>
      </c>
      <c r="C55" s="7" t="s">
        <v>735</v>
      </c>
      <c r="D55" s="7" t="s">
        <v>736</v>
      </c>
      <c r="E55" s="7" t="s">
        <v>737</v>
      </c>
      <c r="F55" s="7" t="s">
        <v>725</v>
      </c>
      <c r="G55" s="7" t="s">
        <v>68</v>
      </c>
      <c r="H55" s="7" t="s">
        <v>50</v>
      </c>
      <c r="I55" s="7" t="s">
        <v>738</v>
      </c>
      <c r="J55" s="7" t="s">
        <v>167</v>
      </c>
      <c r="K55" s="7" t="s">
        <v>739</v>
      </c>
      <c r="L55" s="7" t="s">
        <v>740</v>
      </c>
      <c r="M55" s="7" t="s">
        <v>741</v>
      </c>
      <c r="N55" s="7" t="s">
        <v>742</v>
      </c>
      <c r="O55" s="7" t="s">
        <v>743</v>
      </c>
      <c r="P55" s="7" t="s">
        <v>744</v>
      </c>
      <c r="Q55" s="7" t="s">
        <v>58</v>
      </c>
      <c r="R55" s="7" t="s">
        <v>745</v>
      </c>
      <c r="S55" s="7" t="s">
        <v>746</v>
      </c>
      <c r="T55" s="7" t="s">
        <v>61</v>
      </c>
      <c r="U55" s="7" t="s">
        <v>146</v>
      </c>
      <c r="V55" s="7" t="s">
        <v>132</v>
      </c>
    </row>
    <row r="56" ht="26" spans="1:22">
      <c r="A56" s="7">
        <v>54</v>
      </c>
      <c r="B56" s="7" t="s">
        <v>747</v>
      </c>
      <c r="C56" s="7" t="s">
        <v>748</v>
      </c>
      <c r="D56" s="7" t="s">
        <v>61</v>
      </c>
      <c r="E56" s="7" t="s">
        <v>749</v>
      </c>
      <c r="F56" s="7" t="s">
        <v>750</v>
      </c>
      <c r="G56" s="7" t="s">
        <v>68</v>
      </c>
      <c r="H56" s="7" t="s">
        <v>69</v>
      </c>
      <c r="I56" s="7" t="s">
        <v>751</v>
      </c>
      <c r="J56" s="7" t="s">
        <v>523</v>
      </c>
      <c r="K56" s="7" t="s">
        <v>752</v>
      </c>
      <c r="L56" s="7" t="s">
        <v>753</v>
      </c>
      <c r="M56" s="7" t="s">
        <v>754</v>
      </c>
      <c r="N56" s="7" t="s">
        <v>755</v>
      </c>
      <c r="O56" s="7" t="s">
        <v>756</v>
      </c>
      <c r="P56" s="7" t="s">
        <v>757</v>
      </c>
      <c r="Q56" s="7" t="s">
        <v>58</v>
      </c>
      <c r="R56" s="7" t="s">
        <v>758</v>
      </c>
      <c r="S56" s="7" t="s">
        <v>759</v>
      </c>
      <c r="T56" s="7" t="s">
        <v>760</v>
      </c>
      <c r="U56" s="7" t="s">
        <v>761</v>
      </c>
      <c r="V56" s="7" t="s">
        <v>63</v>
      </c>
    </row>
    <row r="57" ht="26" spans="1:22">
      <c r="A57" s="7">
        <v>55</v>
      </c>
      <c r="B57" s="7" t="s">
        <v>747</v>
      </c>
      <c r="C57" s="7" t="s">
        <v>762</v>
      </c>
      <c r="D57" s="7" t="s">
        <v>763</v>
      </c>
      <c r="E57" s="7" t="s">
        <v>764</v>
      </c>
      <c r="F57" s="7" t="s">
        <v>765</v>
      </c>
      <c r="G57" s="7" t="s">
        <v>68</v>
      </c>
      <c r="H57" s="7" t="s">
        <v>207</v>
      </c>
      <c r="I57" s="7" t="s">
        <v>766</v>
      </c>
      <c r="J57" s="7" t="s">
        <v>523</v>
      </c>
      <c r="K57" s="7" t="s">
        <v>767</v>
      </c>
      <c r="L57" s="7" t="s">
        <v>768</v>
      </c>
      <c r="M57" s="7" t="s">
        <v>769</v>
      </c>
      <c r="N57" s="7" t="s">
        <v>770</v>
      </c>
      <c r="O57" s="7" t="s">
        <v>771</v>
      </c>
      <c r="P57" s="7" t="s">
        <v>772</v>
      </c>
      <c r="Q57" s="7" t="s">
        <v>58</v>
      </c>
      <c r="R57" s="7" t="s">
        <v>773</v>
      </c>
      <c r="S57" s="7" t="s">
        <v>774</v>
      </c>
      <c r="T57" s="7" t="s">
        <v>775</v>
      </c>
      <c r="U57" s="7" t="s">
        <v>776</v>
      </c>
      <c r="V57" s="7" t="s">
        <v>293</v>
      </c>
    </row>
    <row r="58" ht="26" spans="1:22">
      <c r="A58" s="7">
        <v>56</v>
      </c>
      <c r="B58" s="7" t="s">
        <v>747</v>
      </c>
      <c r="C58" s="7" t="s">
        <v>777</v>
      </c>
      <c r="D58" s="7" t="s">
        <v>778</v>
      </c>
      <c r="E58" s="7" t="s">
        <v>779</v>
      </c>
      <c r="F58" s="7" t="s">
        <v>780</v>
      </c>
      <c r="G58" s="7" t="s">
        <v>68</v>
      </c>
      <c r="H58" s="7" t="s">
        <v>69</v>
      </c>
      <c r="I58" s="7" t="s">
        <v>781</v>
      </c>
      <c r="J58" s="7" t="s">
        <v>523</v>
      </c>
      <c r="K58" s="7" t="s">
        <v>782</v>
      </c>
      <c r="L58" s="7" t="s">
        <v>783</v>
      </c>
      <c r="M58" s="7" t="s">
        <v>784</v>
      </c>
      <c r="N58" s="7" t="s">
        <v>785</v>
      </c>
      <c r="O58" s="7" t="s">
        <v>786</v>
      </c>
      <c r="P58" s="7" t="s">
        <v>787</v>
      </c>
      <c r="Q58" s="7" t="s">
        <v>58</v>
      </c>
      <c r="R58" s="7" t="s">
        <v>788</v>
      </c>
      <c r="S58" s="7" t="s">
        <v>789</v>
      </c>
      <c r="T58" s="7" t="s">
        <v>790</v>
      </c>
      <c r="U58" s="7" t="s">
        <v>776</v>
      </c>
      <c r="V58" s="7" t="s">
        <v>132</v>
      </c>
    </row>
    <row r="59" ht="26" spans="1:22">
      <c r="A59" s="7">
        <v>57</v>
      </c>
      <c r="B59" s="7" t="s">
        <v>747</v>
      </c>
      <c r="C59" s="7" t="s">
        <v>791</v>
      </c>
      <c r="D59" s="7" t="s">
        <v>61</v>
      </c>
      <c r="E59" s="7" t="s">
        <v>792</v>
      </c>
      <c r="F59" s="7" t="s">
        <v>360</v>
      </c>
      <c r="G59" s="7" t="s">
        <v>68</v>
      </c>
      <c r="H59" s="7" t="s">
        <v>69</v>
      </c>
      <c r="I59" s="7" t="s">
        <v>793</v>
      </c>
      <c r="J59" s="7" t="s">
        <v>167</v>
      </c>
      <c r="K59" s="7" t="s">
        <v>794</v>
      </c>
      <c r="L59" s="7" t="s">
        <v>795</v>
      </c>
      <c r="M59" s="7" t="s">
        <v>796</v>
      </c>
      <c r="N59" s="7" t="s">
        <v>797</v>
      </c>
      <c r="O59" s="7" t="s">
        <v>798</v>
      </c>
      <c r="P59" s="7" t="s">
        <v>799</v>
      </c>
      <c r="Q59" s="7" t="s">
        <v>58</v>
      </c>
      <c r="R59" s="7" t="s">
        <v>800</v>
      </c>
      <c r="S59" s="7" t="s">
        <v>801</v>
      </c>
      <c r="T59" s="7" t="s">
        <v>802</v>
      </c>
      <c r="U59" s="7" t="s">
        <v>803</v>
      </c>
      <c r="V59" s="7" t="s">
        <v>132</v>
      </c>
    </row>
    <row r="60" ht="26" spans="1:22">
      <c r="A60" s="7">
        <v>58</v>
      </c>
      <c r="B60" s="7" t="s">
        <v>747</v>
      </c>
      <c r="C60" s="7" t="s">
        <v>804</v>
      </c>
      <c r="D60" s="7" t="s">
        <v>61</v>
      </c>
      <c r="E60" s="7" t="s">
        <v>805</v>
      </c>
      <c r="F60" s="7" t="s">
        <v>67</v>
      </c>
      <c r="G60" s="7" t="s">
        <v>68</v>
      </c>
      <c r="H60" s="7" t="s">
        <v>69</v>
      </c>
      <c r="I60" s="7" t="s">
        <v>806</v>
      </c>
      <c r="J60" s="7" t="s">
        <v>523</v>
      </c>
      <c r="K60" s="7" t="s">
        <v>807</v>
      </c>
      <c r="L60" s="7" t="s">
        <v>808</v>
      </c>
      <c r="M60" s="7" t="s">
        <v>809</v>
      </c>
      <c r="N60" s="7" t="s">
        <v>810</v>
      </c>
      <c r="O60" s="7" t="s">
        <v>811</v>
      </c>
      <c r="P60" s="7" t="s">
        <v>812</v>
      </c>
      <c r="Q60" s="7" t="s">
        <v>58</v>
      </c>
      <c r="R60" s="7" t="s">
        <v>813</v>
      </c>
      <c r="S60" s="7" t="s">
        <v>814</v>
      </c>
      <c r="T60" s="7" t="s">
        <v>61</v>
      </c>
      <c r="U60" s="7" t="s">
        <v>815</v>
      </c>
      <c r="V60" s="7" t="s">
        <v>293</v>
      </c>
    </row>
    <row r="61" ht="26" spans="1:22">
      <c r="A61" s="7">
        <v>59</v>
      </c>
      <c r="B61" s="7" t="s">
        <v>747</v>
      </c>
      <c r="C61" s="7" t="s">
        <v>816</v>
      </c>
      <c r="D61" s="7" t="s">
        <v>817</v>
      </c>
      <c r="E61" s="7" t="s">
        <v>818</v>
      </c>
      <c r="F61" s="7" t="s">
        <v>819</v>
      </c>
      <c r="G61" s="7" t="s">
        <v>68</v>
      </c>
      <c r="H61" s="7" t="s">
        <v>50</v>
      </c>
      <c r="I61" s="7" t="s">
        <v>820</v>
      </c>
      <c r="J61" s="7" t="s">
        <v>523</v>
      </c>
      <c r="K61" s="7" t="s">
        <v>821</v>
      </c>
      <c r="L61" s="7" t="s">
        <v>822</v>
      </c>
      <c r="M61" s="7" t="s">
        <v>823</v>
      </c>
      <c r="N61" s="7" t="s">
        <v>824</v>
      </c>
      <c r="O61" s="7" t="s">
        <v>825</v>
      </c>
      <c r="P61" s="7" t="s">
        <v>826</v>
      </c>
      <c r="Q61" s="7" t="s">
        <v>58</v>
      </c>
      <c r="R61" s="7" t="s">
        <v>827</v>
      </c>
      <c r="S61" s="7" t="s">
        <v>828</v>
      </c>
      <c r="T61" s="7" t="s">
        <v>61</v>
      </c>
      <c r="U61" s="7" t="s">
        <v>829</v>
      </c>
      <c r="V61" s="7" t="s">
        <v>293</v>
      </c>
    </row>
    <row r="62" ht="26" spans="1:22">
      <c r="A62" s="7">
        <v>60</v>
      </c>
      <c r="B62" s="7" t="s">
        <v>830</v>
      </c>
      <c r="C62" s="7" t="s">
        <v>831</v>
      </c>
      <c r="D62" s="7" t="s">
        <v>61</v>
      </c>
      <c r="E62" s="7" t="s">
        <v>832</v>
      </c>
      <c r="F62" s="7" t="s">
        <v>833</v>
      </c>
      <c r="G62" s="7" t="s">
        <v>49</v>
      </c>
      <c r="H62" s="7" t="s">
        <v>69</v>
      </c>
      <c r="I62" s="7" t="s">
        <v>834</v>
      </c>
      <c r="J62" s="7" t="s">
        <v>52</v>
      </c>
      <c r="K62" s="7" t="s">
        <v>835</v>
      </c>
      <c r="L62" s="7" t="s">
        <v>836</v>
      </c>
      <c r="M62" s="7" t="s">
        <v>837</v>
      </c>
      <c r="N62" s="7" t="s">
        <v>838</v>
      </c>
      <c r="O62" s="7" t="s">
        <v>839</v>
      </c>
      <c r="P62" s="7" t="s">
        <v>840</v>
      </c>
      <c r="Q62" s="7" t="s">
        <v>58</v>
      </c>
      <c r="R62" s="7" t="s">
        <v>841</v>
      </c>
      <c r="S62" s="7" t="s">
        <v>842</v>
      </c>
      <c r="T62" s="7" t="s">
        <v>61</v>
      </c>
      <c r="U62" s="7" t="s">
        <v>843</v>
      </c>
      <c r="V62" s="7" t="s">
        <v>63</v>
      </c>
    </row>
    <row r="63" ht="26" spans="1:22">
      <c r="A63" s="7">
        <v>61</v>
      </c>
      <c r="B63" s="7" t="s">
        <v>830</v>
      </c>
      <c r="C63" s="7" t="s">
        <v>844</v>
      </c>
      <c r="D63" s="7" t="s">
        <v>61</v>
      </c>
      <c r="E63" s="7" t="s">
        <v>845</v>
      </c>
      <c r="F63" s="7" t="s">
        <v>846</v>
      </c>
      <c r="G63" s="7" t="s">
        <v>68</v>
      </c>
      <c r="H63" s="7" t="s">
        <v>69</v>
      </c>
      <c r="I63" s="7" t="s">
        <v>847</v>
      </c>
      <c r="J63" s="7" t="s">
        <v>400</v>
      </c>
      <c r="K63" s="7" t="s">
        <v>848</v>
      </c>
      <c r="L63" s="7" t="s">
        <v>849</v>
      </c>
      <c r="M63" s="7" t="s">
        <v>850</v>
      </c>
      <c r="N63" s="7" t="s">
        <v>851</v>
      </c>
      <c r="O63" s="7" t="s">
        <v>852</v>
      </c>
      <c r="P63" s="7" t="s">
        <v>853</v>
      </c>
      <c r="Q63" s="7" t="s">
        <v>58</v>
      </c>
      <c r="R63" s="7" t="s">
        <v>854</v>
      </c>
      <c r="S63" s="7" t="s">
        <v>855</v>
      </c>
      <c r="T63" s="7" t="s">
        <v>61</v>
      </c>
      <c r="U63" s="7" t="s">
        <v>856</v>
      </c>
      <c r="V63" s="7" t="s">
        <v>63</v>
      </c>
    </row>
    <row r="64" ht="26" spans="1:22">
      <c r="A64" s="7">
        <v>62</v>
      </c>
      <c r="B64" s="7" t="s">
        <v>857</v>
      </c>
      <c r="C64" s="7" t="s">
        <v>858</v>
      </c>
      <c r="D64" s="7" t="s">
        <v>61</v>
      </c>
      <c r="E64" s="7" t="s">
        <v>859</v>
      </c>
      <c r="F64" s="7" t="s">
        <v>860</v>
      </c>
      <c r="G64" s="7" t="s">
        <v>68</v>
      </c>
      <c r="H64" s="7" t="s">
        <v>50</v>
      </c>
      <c r="I64" s="7" t="s">
        <v>861</v>
      </c>
      <c r="J64" s="7" t="s">
        <v>862</v>
      </c>
      <c r="K64" s="7" t="s">
        <v>863</v>
      </c>
      <c r="L64" s="7" t="s">
        <v>864</v>
      </c>
      <c r="M64" s="7" t="s">
        <v>865</v>
      </c>
      <c r="N64" s="7" t="s">
        <v>866</v>
      </c>
      <c r="O64" s="7" t="s">
        <v>867</v>
      </c>
      <c r="P64" s="7" t="s">
        <v>868</v>
      </c>
      <c r="Q64" s="7" t="s">
        <v>58</v>
      </c>
      <c r="R64" s="7" t="s">
        <v>869</v>
      </c>
      <c r="S64" s="7" t="s">
        <v>870</v>
      </c>
      <c r="T64" s="7" t="s">
        <v>61</v>
      </c>
      <c r="U64" s="7" t="s">
        <v>871</v>
      </c>
      <c r="V64" s="7" t="s">
        <v>132</v>
      </c>
    </row>
    <row r="65" ht="26" spans="1:22">
      <c r="A65" s="7">
        <v>63</v>
      </c>
      <c r="B65" s="7" t="s">
        <v>857</v>
      </c>
      <c r="C65" s="7" t="s">
        <v>872</v>
      </c>
      <c r="D65" s="7" t="s">
        <v>61</v>
      </c>
      <c r="E65" s="7" t="s">
        <v>873</v>
      </c>
      <c r="F65" s="7" t="s">
        <v>874</v>
      </c>
      <c r="G65" s="7" t="s">
        <v>68</v>
      </c>
      <c r="H65" s="7" t="s">
        <v>69</v>
      </c>
      <c r="I65" s="7" t="s">
        <v>875</v>
      </c>
      <c r="J65" s="7" t="s">
        <v>862</v>
      </c>
      <c r="K65" s="7" t="s">
        <v>876</v>
      </c>
      <c r="L65" s="7" t="s">
        <v>877</v>
      </c>
      <c r="M65" s="7" t="s">
        <v>878</v>
      </c>
      <c r="N65" s="7" t="s">
        <v>879</v>
      </c>
      <c r="O65" s="7" t="s">
        <v>880</v>
      </c>
      <c r="P65" s="7" t="s">
        <v>881</v>
      </c>
      <c r="Q65" s="7" t="s">
        <v>58</v>
      </c>
      <c r="R65" s="7" t="s">
        <v>882</v>
      </c>
      <c r="S65" s="7" t="s">
        <v>883</v>
      </c>
      <c r="T65" s="7" t="s">
        <v>61</v>
      </c>
      <c r="U65" s="7" t="s">
        <v>871</v>
      </c>
      <c r="V65" s="7" t="s">
        <v>132</v>
      </c>
    </row>
    <row r="66" ht="26" spans="1:22">
      <c r="A66" s="7">
        <v>64</v>
      </c>
      <c r="B66" s="7" t="s">
        <v>884</v>
      </c>
      <c r="C66" s="7" t="s">
        <v>885</v>
      </c>
      <c r="D66" s="7" t="s">
        <v>61</v>
      </c>
      <c r="E66" s="7" t="s">
        <v>886</v>
      </c>
      <c r="F66" s="7" t="s">
        <v>887</v>
      </c>
      <c r="G66" s="7" t="s">
        <v>68</v>
      </c>
      <c r="H66" s="7" t="s">
        <v>50</v>
      </c>
      <c r="I66" s="7" t="s">
        <v>888</v>
      </c>
      <c r="J66" s="7" t="s">
        <v>283</v>
      </c>
      <c r="K66" s="7" t="s">
        <v>889</v>
      </c>
      <c r="L66" s="7" t="s">
        <v>890</v>
      </c>
      <c r="M66" s="7" t="s">
        <v>891</v>
      </c>
      <c r="N66" s="7" t="s">
        <v>892</v>
      </c>
      <c r="O66" s="7" t="s">
        <v>893</v>
      </c>
      <c r="P66" s="7" t="s">
        <v>894</v>
      </c>
      <c r="Q66" s="7" t="s">
        <v>58</v>
      </c>
      <c r="R66" s="7" t="s">
        <v>895</v>
      </c>
      <c r="S66" s="7" t="s">
        <v>896</v>
      </c>
      <c r="T66" s="7" t="s">
        <v>61</v>
      </c>
      <c r="U66" s="7" t="s">
        <v>897</v>
      </c>
      <c r="V66" s="7" t="s">
        <v>293</v>
      </c>
    </row>
    <row r="67" ht="26" spans="1:22">
      <c r="A67" s="7">
        <v>65</v>
      </c>
      <c r="B67" s="7" t="s">
        <v>884</v>
      </c>
      <c r="C67" s="7" t="s">
        <v>898</v>
      </c>
      <c r="D67" s="7" t="s">
        <v>61</v>
      </c>
      <c r="E67" s="7" t="s">
        <v>899</v>
      </c>
      <c r="F67" s="7" t="s">
        <v>900</v>
      </c>
      <c r="G67" s="7" t="s">
        <v>68</v>
      </c>
      <c r="H67" s="7" t="s">
        <v>50</v>
      </c>
      <c r="I67" s="7" t="s">
        <v>901</v>
      </c>
      <c r="J67" s="7" t="s">
        <v>283</v>
      </c>
      <c r="K67" s="7" t="s">
        <v>902</v>
      </c>
      <c r="L67" s="7" t="s">
        <v>903</v>
      </c>
      <c r="M67" s="7" t="s">
        <v>904</v>
      </c>
      <c r="N67" s="7" t="s">
        <v>905</v>
      </c>
      <c r="O67" s="7" t="s">
        <v>906</v>
      </c>
      <c r="P67" s="7" t="s">
        <v>907</v>
      </c>
      <c r="Q67" s="7" t="s">
        <v>58</v>
      </c>
      <c r="R67" s="7" t="s">
        <v>908</v>
      </c>
      <c r="S67" s="7" t="s">
        <v>909</v>
      </c>
      <c r="T67" s="7" t="s">
        <v>61</v>
      </c>
      <c r="U67" s="7" t="s">
        <v>910</v>
      </c>
      <c r="V67" s="7" t="s">
        <v>132</v>
      </c>
    </row>
    <row r="68" ht="26" spans="1:22">
      <c r="A68" s="7">
        <v>66</v>
      </c>
      <c r="B68" s="7" t="s">
        <v>911</v>
      </c>
      <c r="C68" s="7" t="s">
        <v>912</v>
      </c>
      <c r="D68" s="7" t="s">
        <v>61</v>
      </c>
      <c r="E68" s="7" t="s">
        <v>913</v>
      </c>
      <c r="F68" s="7" t="s">
        <v>914</v>
      </c>
      <c r="G68" s="7" t="s">
        <v>68</v>
      </c>
      <c r="H68" s="7" t="s">
        <v>69</v>
      </c>
      <c r="I68" s="7" t="s">
        <v>915</v>
      </c>
      <c r="J68" s="7" t="s">
        <v>167</v>
      </c>
      <c r="K68" s="7" t="s">
        <v>916</v>
      </c>
      <c r="L68" s="7" t="s">
        <v>917</v>
      </c>
      <c r="M68" s="7" t="s">
        <v>918</v>
      </c>
      <c r="N68" s="7" t="s">
        <v>919</v>
      </c>
      <c r="O68" s="7" t="s">
        <v>920</v>
      </c>
      <c r="P68" s="7" t="s">
        <v>921</v>
      </c>
      <c r="Q68" s="7" t="s">
        <v>58</v>
      </c>
      <c r="R68" s="7" t="s">
        <v>922</v>
      </c>
      <c r="S68" s="7" t="s">
        <v>923</v>
      </c>
      <c r="T68" s="7" t="s">
        <v>61</v>
      </c>
      <c r="U68" s="7" t="s">
        <v>924</v>
      </c>
      <c r="V68" s="7" t="s">
        <v>132</v>
      </c>
    </row>
    <row r="69" ht="26" spans="1:22">
      <c r="A69" s="7">
        <v>67</v>
      </c>
      <c r="B69" s="7" t="s">
        <v>911</v>
      </c>
      <c r="C69" s="7" t="s">
        <v>925</v>
      </c>
      <c r="D69" s="7" t="s">
        <v>61</v>
      </c>
      <c r="E69" s="7" t="s">
        <v>926</v>
      </c>
      <c r="F69" s="7" t="s">
        <v>927</v>
      </c>
      <c r="G69" s="7" t="s">
        <v>49</v>
      </c>
      <c r="H69" s="7" t="s">
        <v>69</v>
      </c>
      <c r="I69" s="7" t="s">
        <v>928</v>
      </c>
      <c r="J69" s="7" t="s">
        <v>929</v>
      </c>
      <c r="K69" s="7" t="s">
        <v>930</v>
      </c>
      <c r="L69" s="7" t="s">
        <v>931</v>
      </c>
      <c r="M69" s="7" t="s">
        <v>932</v>
      </c>
      <c r="N69" s="7" t="s">
        <v>933</v>
      </c>
      <c r="O69" s="7" t="s">
        <v>934</v>
      </c>
      <c r="P69" s="7" t="s">
        <v>935</v>
      </c>
      <c r="Q69" s="7" t="s">
        <v>58</v>
      </c>
      <c r="R69" s="7" t="s">
        <v>936</v>
      </c>
      <c r="S69" s="7" t="s">
        <v>937</v>
      </c>
      <c r="T69" s="7" t="s">
        <v>61</v>
      </c>
      <c r="U69" s="7" t="s">
        <v>938</v>
      </c>
      <c r="V69" s="7" t="s">
        <v>132</v>
      </c>
    </row>
    <row r="70" ht="26" spans="1:22">
      <c r="A70" s="7">
        <v>68</v>
      </c>
      <c r="B70" s="7" t="s">
        <v>911</v>
      </c>
      <c r="C70" s="7" t="s">
        <v>939</v>
      </c>
      <c r="D70" s="7" t="s">
        <v>61</v>
      </c>
      <c r="E70" s="7" t="s">
        <v>940</v>
      </c>
      <c r="F70" s="7" t="s">
        <v>941</v>
      </c>
      <c r="G70" s="7" t="s">
        <v>68</v>
      </c>
      <c r="H70" s="7" t="s">
        <v>69</v>
      </c>
      <c r="I70" s="7" t="s">
        <v>942</v>
      </c>
      <c r="J70" s="7" t="s">
        <v>121</v>
      </c>
      <c r="K70" s="7" t="s">
        <v>943</v>
      </c>
      <c r="L70" s="7" t="s">
        <v>944</v>
      </c>
      <c r="M70" s="7" t="s">
        <v>945</v>
      </c>
      <c r="N70" s="7" t="s">
        <v>946</v>
      </c>
      <c r="O70" s="7" t="s">
        <v>947</v>
      </c>
      <c r="P70" s="7" t="s">
        <v>948</v>
      </c>
      <c r="Q70" s="7" t="s">
        <v>58</v>
      </c>
      <c r="R70" s="7" t="s">
        <v>949</v>
      </c>
      <c r="S70" s="7" t="s">
        <v>950</v>
      </c>
      <c r="T70" s="7" t="s">
        <v>61</v>
      </c>
      <c r="U70" s="7" t="s">
        <v>951</v>
      </c>
      <c r="V70" s="7" t="s">
        <v>293</v>
      </c>
    </row>
    <row r="71" ht="26" spans="1:22">
      <c r="A71" s="7">
        <v>69</v>
      </c>
      <c r="B71" s="7" t="s">
        <v>911</v>
      </c>
      <c r="C71" s="7" t="s">
        <v>952</v>
      </c>
      <c r="D71" s="7" t="s">
        <v>61</v>
      </c>
      <c r="E71" s="7" t="s">
        <v>953</v>
      </c>
      <c r="F71" s="7" t="s">
        <v>954</v>
      </c>
      <c r="G71" s="7" t="s">
        <v>68</v>
      </c>
      <c r="H71" s="7" t="s">
        <v>69</v>
      </c>
      <c r="I71" s="7" t="s">
        <v>955</v>
      </c>
      <c r="J71" s="7" t="s">
        <v>336</v>
      </c>
      <c r="K71" s="7" t="s">
        <v>956</v>
      </c>
      <c r="L71" s="7" t="s">
        <v>957</v>
      </c>
      <c r="M71" s="7" t="s">
        <v>958</v>
      </c>
      <c r="N71" s="7" t="s">
        <v>959</v>
      </c>
      <c r="O71" s="7" t="s">
        <v>960</v>
      </c>
      <c r="P71" s="7" t="s">
        <v>961</v>
      </c>
      <c r="Q71" s="7" t="s">
        <v>58</v>
      </c>
      <c r="R71" s="7" t="s">
        <v>962</v>
      </c>
      <c r="S71" s="7" t="s">
        <v>963</v>
      </c>
      <c r="T71" s="7" t="s">
        <v>61</v>
      </c>
      <c r="U71" s="7" t="s">
        <v>964</v>
      </c>
      <c r="V71" s="7" t="s">
        <v>63</v>
      </c>
    </row>
    <row r="72" ht="26" spans="1:22">
      <c r="A72" s="7">
        <v>70</v>
      </c>
      <c r="B72" s="7" t="s">
        <v>911</v>
      </c>
      <c r="C72" s="7" t="s">
        <v>965</v>
      </c>
      <c r="D72" s="7" t="s">
        <v>61</v>
      </c>
      <c r="E72" s="7" t="s">
        <v>966</v>
      </c>
      <c r="F72" s="7" t="s">
        <v>967</v>
      </c>
      <c r="G72" s="7" t="s">
        <v>68</v>
      </c>
      <c r="H72" s="7" t="s">
        <v>69</v>
      </c>
      <c r="I72" s="7" t="s">
        <v>968</v>
      </c>
      <c r="J72" s="7" t="s">
        <v>482</v>
      </c>
      <c r="K72" s="7" t="s">
        <v>969</v>
      </c>
      <c r="L72" s="7" t="s">
        <v>970</v>
      </c>
      <c r="M72" s="7" t="s">
        <v>971</v>
      </c>
      <c r="N72" s="7" t="s">
        <v>972</v>
      </c>
      <c r="O72" s="7" t="s">
        <v>973</v>
      </c>
      <c r="P72" s="7" t="s">
        <v>974</v>
      </c>
      <c r="Q72" s="7" t="s">
        <v>58</v>
      </c>
      <c r="R72" s="7" t="s">
        <v>975</v>
      </c>
      <c r="S72" s="7" t="s">
        <v>976</v>
      </c>
      <c r="T72" s="7" t="s">
        <v>61</v>
      </c>
      <c r="U72" s="7" t="s">
        <v>977</v>
      </c>
      <c r="V72" s="7" t="s">
        <v>293</v>
      </c>
    </row>
    <row r="73" ht="26" spans="1:22">
      <c r="A73" s="7">
        <v>71</v>
      </c>
      <c r="B73" s="7" t="s">
        <v>911</v>
      </c>
      <c r="C73" s="7" t="s">
        <v>978</v>
      </c>
      <c r="D73" s="7" t="s">
        <v>61</v>
      </c>
      <c r="E73" s="7" t="s">
        <v>979</v>
      </c>
      <c r="F73" s="7" t="s">
        <v>980</v>
      </c>
      <c r="G73" s="7" t="s">
        <v>68</v>
      </c>
      <c r="H73" s="7" t="s">
        <v>69</v>
      </c>
      <c r="I73" s="7" t="s">
        <v>981</v>
      </c>
      <c r="J73" s="7" t="s">
        <v>400</v>
      </c>
      <c r="K73" s="7" t="s">
        <v>982</v>
      </c>
      <c r="L73" s="7" t="s">
        <v>983</v>
      </c>
      <c r="M73" s="7" t="s">
        <v>984</v>
      </c>
      <c r="N73" s="7" t="s">
        <v>985</v>
      </c>
      <c r="O73" s="7" t="s">
        <v>986</v>
      </c>
      <c r="P73" s="7" t="s">
        <v>987</v>
      </c>
      <c r="Q73" s="7" t="s">
        <v>58</v>
      </c>
      <c r="R73" s="7" t="s">
        <v>988</v>
      </c>
      <c r="S73" s="7" t="s">
        <v>989</v>
      </c>
      <c r="T73" s="7" t="s">
        <v>61</v>
      </c>
      <c r="U73" s="7" t="s">
        <v>990</v>
      </c>
      <c r="V73" s="7" t="s">
        <v>132</v>
      </c>
    </row>
    <row r="74" ht="39" spans="1:22">
      <c r="A74" s="7">
        <v>72</v>
      </c>
      <c r="B74" s="7" t="s">
        <v>911</v>
      </c>
      <c r="C74" s="7" t="s">
        <v>991</v>
      </c>
      <c r="D74" s="7" t="s">
        <v>61</v>
      </c>
      <c r="E74" s="7" t="s">
        <v>992</v>
      </c>
      <c r="F74" s="7" t="s">
        <v>941</v>
      </c>
      <c r="G74" s="7" t="s">
        <v>68</v>
      </c>
      <c r="H74" s="7" t="s">
        <v>69</v>
      </c>
      <c r="I74" s="7" t="s">
        <v>993</v>
      </c>
      <c r="J74" s="7" t="s">
        <v>523</v>
      </c>
      <c r="K74" s="7" t="s">
        <v>994</v>
      </c>
      <c r="L74" s="7" t="s">
        <v>995</v>
      </c>
      <c r="M74" s="7" t="s">
        <v>996</v>
      </c>
      <c r="N74" s="7" t="s">
        <v>997</v>
      </c>
      <c r="O74" s="7" t="s">
        <v>998</v>
      </c>
      <c r="P74" s="7" t="s">
        <v>999</v>
      </c>
      <c r="Q74" s="7" t="s">
        <v>58</v>
      </c>
      <c r="R74" s="7" t="s">
        <v>1000</v>
      </c>
      <c r="S74" s="7" t="s">
        <v>1001</v>
      </c>
      <c r="T74" s="7" t="s">
        <v>61</v>
      </c>
      <c r="U74" s="7" t="s">
        <v>1002</v>
      </c>
      <c r="V74" s="7" t="s">
        <v>132</v>
      </c>
    </row>
  </sheetData>
  <mergeCells count="1">
    <mergeCell ref="A1:V1"/>
  </mergeCells>
  <conditionalFormatting sqref="G3:G1048576">
    <cfRule type="containsText" dxfId="0" priority="1" operator="between" text="是">
      <formula>NOT(ISERROR(SEARCH("是",G3)))</formula>
    </cfRule>
  </conditionalFormatting>
  <conditionalFormatting sqref="K3:K1048576">
    <cfRule type="containsText" dxfId="1" priority="2" operator="between" text="D">
      <formula>NOT(ISERROR(SEARCH("D",K3)))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:G1"/>
    </sheetView>
  </sheetViews>
  <sheetFormatPr defaultColWidth="9" defaultRowHeight="14" outlineLevelCol="6"/>
  <cols>
    <col min="1" max="1" width="12" customWidth="1"/>
    <col min="2" max="2" width="26" customWidth="1"/>
    <col min="3" max="6" width="40" customWidth="1"/>
    <col min="7" max="7" width="24" customWidth="1"/>
  </cols>
  <sheetData>
    <row r="1" ht="30" customHeight="1" spans="1:7">
      <c r="A1" s="1" t="s">
        <v>1003</v>
      </c>
      <c r="B1" s="1"/>
      <c r="C1" s="1"/>
      <c r="D1" s="1"/>
      <c r="E1" s="1"/>
      <c r="F1" s="1"/>
      <c r="G1" s="1"/>
    </row>
    <row r="2" ht="14.5" spans="1:7">
      <c r="A2" s="4" t="s">
        <v>1004</v>
      </c>
      <c r="B2" s="4" t="s">
        <v>1005</v>
      </c>
      <c r="C2" s="4" t="s">
        <v>1006</v>
      </c>
      <c r="D2" s="4" t="s">
        <v>1007</v>
      </c>
      <c r="E2" s="4" t="s">
        <v>1008</v>
      </c>
      <c r="F2" s="4" t="s">
        <v>1009</v>
      </c>
      <c r="G2" s="4" t="s">
        <v>1010</v>
      </c>
    </row>
    <row r="3" ht="14.5" spans="1:7">
      <c r="A3" s="3" t="s">
        <v>1011</v>
      </c>
      <c r="B3" s="3" t="s">
        <v>52</v>
      </c>
      <c r="C3" s="3" t="s">
        <v>1012</v>
      </c>
      <c r="D3" s="3" t="s">
        <v>1013</v>
      </c>
      <c r="E3" s="3" t="s">
        <v>1014</v>
      </c>
      <c r="F3" s="3" t="s">
        <v>1015</v>
      </c>
      <c r="G3" s="3" t="s">
        <v>1016</v>
      </c>
    </row>
    <row r="4" ht="29" spans="1:7">
      <c r="A4" s="3" t="s">
        <v>1017</v>
      </c>
      <c r="B4" s="3" t="s">
        <v>121</v>
      </c>
      <c r="C4" s="3" t="s">
        <v>1018</v>
      </c>
      <c r="D4" s="3" t="s">
        <v>1019</v>
      </c>
      <c r="E4" s="3" t="s">
        <v>1020</v>
      </c>
      <c r="F4" s="3" t="s">
        <v>1021</v>
      </c>
      <c r="G4" s="3" t="s">
        <v>1022</v>
      </c>
    </row>
    <row r="5" ht="29" spans="1:7">
      <c r="A5" s="3" t="s">
        <v>1023</v>
      </c>
      <c r="B5" s="3" t="s">
        <v>195</v>
      </c>
      <c r="C5" s="3" t="s">
        <v>1024</v>
      </c>
      <c r="D5" s="3" t="s">
        <v>1025</v>
      </c>
      <c r="E5" s="3" t="s">
        <v>1026</v>
      </c>
      <c r="F5" s="3" t="s">
        <v>1027</v>
      </c>
      <c r="G5" s="3" t="s">
        <v>1028</v>
      </c>
    </row>
    <row r="6" ht="29" spans="1:7">
      <c r="A6" s="3" t="s">
        <v>1029</v>
      </c>
      <c r="B6" s="3" t="s">
        <v>336</v>
      </c>
      <c r="C6" s="3" t="s">
        <v>1030</v>
      </c>
      <c r="D6" s="3" t="s">
        <v>1031</v>
      </c>
      <c r="E6" s="3" t="s">
        <v>1032</v>
      </c>
      <c r="F6" s="3" t="s">
        <v>1033</v>
      </c>
      <c r="G6" s="3" t="s">
        <v>1034</v>
      </c>
    </row>
    <row r="7" ht="29" spans="1:7">
      <c r="A7" s="3" t="s">
        <v>1035</v>
      </c>
      <c r="B7" s="3" t="s">
        <v>427</v>
      </c>
      <c r="C7" s="3" t="s">
        <v>1036</v>
      </c>
      <c r="D7" s="3" t="s">
        <v>1037</v>
      </c>
      <c r="E7" s="3" t="s">
        <v>1038</v>
      </c>
      <c r="F7" s="3" t="s">
        <v>1039</v>
      </c>
      <c r="G7" s="3" t="s">
        <v>1040</v>
      </c>
    </row>
    <row r="8" ht="29" spans="1:7">
      <c r="A8" s="3" t="s">
        <v>1041</v>
      </c>
      <c r="B8" s="3" t="s">
        <v>482</v>
      </c>
      <c r="C8" s="3" t="s">
        <v>1042</v>
      </c>
      <c r="D8" s="3" t="s">
        <v>1043</v>
      </c>
      <c r="E8" s="3" t="s">
        <v>1044</v>
      </c>
      <c r="F8" s="3" t="s">
        <v>1045</v>
      </c>
      <c r="G8" s="3" t="s">
        <v>1046</v>
      </c>
    </row>
    <row r="9" ht="29" spans="1:7">
      <c r="A9" s="3" t="s">
        <v>1047</v>
      </c>
      <c r="B9" s="3" t="s">
        <v>563</v>
      </c>
      <c r="C9" s="3" t="s">
        <v>1048</v>
      </c>
      <c r="D9" s="3" t="s">
        <v>1049</v>
      </c>
      <c r="E9" s="3" t="s">
        <v>1050</v>
      </c>
      <c r="F9" s="3" t="s">
        <v>1051</v>
      </c>
      <c r="G9" s="3" t="s">
        <v>1052</v>
      </c>
    </row>
    <row r="10" ht="29" spans="1:7">
      <c r="A10" s="3" t="s">
        <v>1053</v>
      </c>
      <c r="B10" s="3" t="s">
        <v>400</v>
      </c>
      <c r="C10" s="3" t="s">
        <v>1054</v>
      </c>
      <c r="D10" s="3" t="s">
        <v>1055</v>
      </c>
      <c r="E10" s="3" t="s">
        <v>1056</v>
      </c>
      <c r="F10" s="3" t="s">
        <v>1057</v>
      </c>
      <c r="G10" s="3" t="s">
        <v>1058</v>
      </c>
    </row>
    <row r="11" ht="29" spans="1:7">
      <c r="A11" s="3" t="s">
        <v>1059</v>
      </c>
      <c r="B11" s="3" t="s">
        <v>664</v>
      </c>
      <c r="C11" s="3" t="s">
        <v>1060</v>
      </c>
      <c r="D11" s="3" t="s">
        <v>1061</v>
      </c>
      <c r="E11" s="3" t="s">
        <v>1062</v>
      </c>
      <c r="F11" s="3" t="s">
        <v>1063</v>
      </c>
      <c r="G11" s="3" t="s">
        <v>1064</v>
      </c>
    </row>
    <row r="12" ht="29" spans="1:7">
      <c r="A12" s="3" t="s">
        <v>1065</v>
      </c>
      <c r="B12" s="3" t="s">
        <v>523</v>
      </c>
      <c r="C12" s="3" t="s">
        <v>1066</v>
      </c>
      <c r="D12" s="3" t="s">
        <v>1067</v>
      </c>
      <c r="E12" s="3" t="s">
        <v>1068</v>
      </c>
      <c r="F12" s="3" t="s">
        <v>1069</v>
      </c>
      <c r="G12" s="3" t="s">
        <v>1070</v>
      </c>
    </row>
    <row r="13" ht="29" spans="1:7">
      <c r="A13" s="3" t="s">
        <v>1071</v>
      </c>
      <c r="B13" s="3" t="s">
        <v>167</v>
      </c>
      <c r="C13" s="3" t="s">
        <v>1072</v>
      </c>
      <c r="D13" s="3" t="s">
        <v>1073</v>
      </c>
      <c r="E13" s="3" t="s">
        <v>1074</v>
      </c>
      <c r="F13" s="3" t="s">
        <v>1075</v>
      </c>
      <c r="G13" s="3" t="s">
        <v>1076</v>
      </c>
    </row>
    <row r="14" ht="29" spans="1:7">
      <c r="A14" s="3" t="s">
        <v>1077</v>
      </c>
      <c r="B14" s="3" t="s">
        <v>283</v>
      </c>
      <c r="C14" s="3" t="s">
        <v>1078</v>
      </c>
      <c r="D14" s="3" t="s">
        <v>1079</v>
      </c>
      <c r="E14" s="3" t="s">
        <v>1080</v>
      </c>
      <c r="F14" s="3" t="s">
        <v>1081</v>
      </c>
      <c r="G14" s="3" t="s">
        <v>1082</v>
      </c>
    </row>
    <row r="15" ht="29" spans="1:7">
      <c r="A15" s="3" t="s">
        <v>1083</v>
      </c>
      <c r="B15" s="3" t="s">
        <v>862</v>
      </c>
      <c r="C15" s="3" t="s">
        <v>1084</v>
      </c>
      <c r="D15" s="3" t="s">
        <v>1085</v>
      </c>
      <c r="E15" s="3" t="s">
        <v>1086</v>
      </c>
      <c r="F15" s="3" t="s">
        <v>1087</v>
      </c>
      <c r="G15" s="3" t="s">
        <v>1088</v>
      </c>
    </row>
    <row r="16" ht="29" spans="1:7">
      <c r="A16" s="3" t="s">
        <v>1089</v>
      </c>
      <c r="B16" s="3" t="s">
        <v>929</v>
      </c>
      <c r="C16" s="3" t="s">
        <v>1090</v>
      </c>
      <c r="D16" s="3" t="s">
        <v>1091</v>
      </c>
      <c r="E16" s="3" t="s">
        <v>1092</v>
      </c>
      <c r="F16" s="3" t="s">
        <v>1093</v>
      </c>
      <c r="G16" s="3" t="s">
        <v>1094</v>
      </c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workbookViewId="0">
      <selection activeCell="A1" sqref="A1:E1"/>
    </sheetView>
  </sheetViews>
  <sheetFormatPr defaultColWidth="9" defaultRowHeight="14" outlineLevelCol="4"/>
  <cols>
    <col min="1" max="1" width="14" customWidth="1"/>
    <col min="2" max="3" width="28" customWidth="1"/>
    <col min="4" max="4" width="18" customWidth="1"/>
    <col min="5" max="5" width="46" customWidth="1"/>
  </cols>
  <sheetData>
    <row r="1" ht="30" customHeight="1" spans="1:5">
      <c r="A1" s="1" t="s">
        <v>1095</v>
      </c>
      <c r="B1" s="1"/>
      <c r="C1" s="1"/>
      <c r="D1" s="1"/>
      <c r="E1" s="1"/>
    </row>
    <row r="2" ht="14.5" spans="1:5">
      <c r="A2" s="2" t="s">
        <v>1096</v>
      </c>
      <c r="B2" s="2" t="s">
        <v>1097</v>
      </c>
      <c r="C2" s="2" t="s">
        <v>1098</v>
      </c>
      <c r="D2" s="2" t="s">
        <v>1099</v>
      </c>
      <c r="E2" s="2" t="s">
        <v>1100</v>
      </c>
    </row>
    <row r="3" ht="14.5" spans="1:5">
      <c r="A3" s="3" t="s">
        <v>1101</v>
      </c>
      <c r="B3" s="3" t="s">
        <v>1102</v>
      </c>
      <c r="C3" s="3" t="s">
        <v>1103</v>
      </c>
      <c r="D3" s="3" t="s">
        <v>1104</v>
      </c>
      <c r="E3" s="3" t="s">
        <v>1105</v>
      </c>
    </row>
    <row r="4" ht="14.5" spans="1:5">
      <c r="A4" s="3" t="s">
        <v>1101</v>
      </c>
      <c r="B4" s="3" t="s">
        <v>1106</v>
      </c>
      <c r="C4" s="3" t="s">
        <v>1107</v>
      </c>
      <c r="D4" s="3" t="s">
        <v>1108</v>
      </c>
      <c r="E4" s="3" t="s">
        <v>1109</v>
      </c>
    </row>
    <row r="5" ht="14.5" spans="1:5">
      <c r="A5" s="3" t="s">
        <v>1101</v>
      </c>
      <c r="B5" s="3" t="s">
        <v>1110</v>
      </c>
      <c r="C5" s="3" t="s">
        <v>1111</v>
      </c>
      <c r="D5" s="3" t="s">
        <v>1112</v>
      </c>
      <c r="E5" s="3" t="s">
        <v>1113</v>
      </c>
    </row>
    <row r="6" ht="14.5" spans="1:5">
      <c r="A6" s="3" t="s">
        <v>1101</v>
      </c>
      <c r="B6" s="3" t="s">
        <v>1114</v>
      </c>
      <c r="C6" s="3" t="s">
        <v>1115</v>
      </c>
      <c r="D6" s="3" t="s">
        <v>1116</v>
      </c>
      <c r="E6" s="3" t="s">
        <v>1117</v>
      </c>
    </row>
    <row r="7" ht="14.5" spans="1:5">
      <c r="A7" s="3" t="s">
        <v>1101</v>
      </c>
      <c r="B7" s="3" t="s">
        <v>1118</v>
      </c>
      <c r="C7" s="3" t="s">
        <v>1119</v>
      </c>
      <c r="D7" s="3" t="s">
        <v>1120</v>
      </c>
      <c r="E7" s="3" t="s">
        <v>1121</v>
      </c>
    </row>
    <row r="8" ht="14.5" spans="1:5">
      <c r="A8" s="3" t="s">
        <v>1101</v>
      </c>
      <c r="B8" s="3" t="s">
        <v>1122</v>
      </c>
      <c r="C8" s="3" t="s">
        <v>1123</v>
      </c>
      <c r="D8" s="3" t="s">
        <v>1112</v>
      </c>
      <c r="E8" s="3" t="s">
        <v>1124</v>
      </c>
    </row>
    <row r="9" ht="14.5" spans="1:5">
      <c r="A9" s="3" t="s">
        <v>1101</v>
      </c>
      <c r="B9" s="3" t="s">
        <v>1125</v>
      </c>
      <c r="C9" s="3" t="s">
        <v>1126</v>
      </c>
      <c r="D9" s="3" t="s">
        <v>1112</v>
      </c>
      <c r="E9" s="3" t="s">
        <v>1127</v>
      </c>
    </row>
    <row r="10" ht="14.5" spans="1:5">
      <c r="A10" s="3" t="s">
        <v>1101</v>
      </c>
      <c r="B10" s="3" t="s">
        <v>1128</v>
      </c>
      <c r="C10" s="3" t="s">
        <v>1129</v>
      </c>
      <c r="D10" s="3" t="s">
        <v>1112</v>
      </c>
      <c r="E10" s="3" t="s">
        <v>1130</v>
      </c>
    </row>
    <row r="11" ht="14.5" spans="1:5">
      <c r="A11" s="3" t="s">
        <v>1131</v>
      </c>
      <c r="B11" s="3" t="s">
        <v>1132</v>
      </c>
      <c r="C11" s="3" t="s">
        <v>1133</v>
      </c>
      <c r="D11" s="3" t="s">
        <v>1134</v>
      </c>
      <c r="E11" s="3" t="s">
        <v>1135</v>
      </c>
    </row>
    <row r="12" ht="14.5" spans="1:5">
      <c r="A12" s="3" t="s">
        <v>1131</v>
      </c>
      <c r="B12" s="3" t="s">
        <v>1136</v>
      </c>
      <c r="C12" s="3" t="s">
        <v>1137</v>
      </c>
      <c r="D12" s="3" t="s">
        <v>1112</v>
      </c>
      <c r="E12" s="3" t="s">
        <v>1138</v>
      </c>
    </row>
    <row r="13" ht="14.5" spans="1:5">
      <c r="A13" s="3" t="s">
        <v>1131</v>
      </c>
      <c r="B13" s="3" t="s">
        <v>1139</v>
      </c>
      <c r="C13" s="3" t="s">
        <v>1140</v>
      </c>
      <c r="D13" s="3" t="s">
        <v>1141</v>
      </c>
      <c r="E13" s="3" t="s">
        <v>1142</v>
      </c>
    </row>
    <row r="14" ht="14.5" spans="1:5">
      <c r="A14" s="3" t="s">
        <v>1143</v>
      </c>
      <c r="B14" s="3" t="s">
        <v>1144</v>
      </c>
      <c r="C14" s="3" t="s">
        <v>1145</v>
      </c>
      <c r="D14" s="3" t="s">
        <v>1116</v>
      </c>
      <c r="E14" s="3" t="s">
        <v>1146</v>
      </c>
    </row>
    <row r="15" ht="14.5" spans="1:5">
      <c r="A15" s="3" t="s">
        <v>1143</v>
      </c>
      <c r="B15" s="3" t="s">
        <v>1147</v>
      </c>
      <c r="C15" s="3" t="s">
        <v>1148</v>
      </c>
      <c r="D15" s="3" t="s">
        <v>1116</v>
      </c>
      <c r="E15" s="3" t="s">
        <v>1149</v>
      </c>
    </row>
    <row r="16" ht="14.5" spans="1:5">
      <c r="A16" s="3" t="s">
        <v>1143</v>
      </c>
      <c r="B16" s="3" t="s">
        <v>1150</v>
      </c>
      <c r="C16" s="3" t="s">
        <v>1151</v>
      </c>
      <c r="D16" s="3" t="s">
        <v>1152</v>
      </c>
      <c r="E16" s="3" t="s">
        <v>1153</v>
      </c>
    </row>
    <row r="17" ht="14.5" spans="1:5">
      <c r="A17" s="3" t="s">
        <v>1154</v>
      </c>
      <c r="B17" s="3" t="s">
        <v>1155</v>
      </c>
      <c r="C17" s="3" t="s">
        <v>1156</v>
      </c>
      <c r="D17" s="3" t="s">
        <v>1157</v>
      </c>
      <c r="E17" s="3" t="s">
        <v>1158</v>
      </c>
    </row>
    <row r="18" ht="14.5" spans="1:5">
      <c r="A18" s="3" t="s">
        <v>1154</v>
      </c>
      <c r="B18" s="3" t="s">
        <v>1159</v>
      </c>
      <c r="C18" s="3" t="s">
        <v>1160</v>
      </c>
      <c r="D18" s="3" t="s">
        <v>1161</v>
      </c>
      <c r="E18" s="3" t="s">
        <v>1162</v>
      </c>
    </row>
    <row r="19" ht="14.5" spans="1:5">
      <c r="A19" s="3" t="s">
        <v>1154</v>
      </c>
      <c r="B19" s="3" t="s">
        <v>1163</v>
      </c>
      <c r="C19" s="3" t="s">
        <v>1164</v>
      </c>
      <c r="D19" s="3" t="s">
        <v>1165</v>
      </c>
      <c r="E19" s="3" t="s">
        <v>1166</v>
      </c>
    </row>
    <row r="20" ht="14.5" spans="1:5">
      <c r="A20" s="3" t="s">
        <v>1154</v>
      </c>
      <c r="B20" s="3" t="s">
        <v>1167</v>
      </c>
      <c r="C20" s="3" t="s">
        <v>1168</v>
      </c>
      <c r="D20" s="3" t="s">
        <v>1112</v>
      </c>
      <c r="E20" s="3" t="s">
        <v>1169</v>
      </c>
    </row>
    <row r="21" ht="14.5" spans="1:5">
      <c r="A21" s="3" t="s">
        <v>1154</v>
      </c>
      <c r="B21" s="3" t="s">
        <v>1170</v>
      </c>
      <c r="C21" s="3" t="s">
        <v>1171</v>
      </c>
      <c r="D21" s="3" t="s">
        <v>1172</v>
      </c>
      <c r="E21" s="3" t="s">
        <v>1173</v>
      </c>
    </row>
    <row r="22" ht="14.5" spans="1:5">
      <c r="A22" s="3" t="s">
        <v>1154</v>
      </c>
      <c r="B22" s="3" t="s">
        <v>1174</v>
      </c>
      <c r="C22" s="3" t="s">
        <v>1175</v>
      </c>
      <c r="D22" s="3" t="s">
        <v>1161</v>
      </c>
      <c r="E22" s="3" t="s">
        <v>1176</v>
      </c>
    </row>
    <row r="23" ht="14.5" spans="1:5">
      <c r="A23" s="3" t="s">
        <v>1154</v>
      </c>
      <c r="B23" s="3" t="s">
        <v>1177</v>
      </c>
      <c r="C23" s="3" t="s">
        <v>218</v>
      </c>
      <c r="D23" s="3" t="s">
        <v>1152</v>
      </c>
      <c r="E23" s="3" t="s">
        <v>1178</v>
      </c>
    </row>
    <row r="24" ht="14.5" spans="1:5">
      <c r="A24" s="3" t="s">
        <v>1154</v>
      </c>
      <c r="B24" s="3" t="s">
        <v>1179</v>
      </c>
      <c r="C24" s="3" t="s">
        <v>1180</v>
      </c>
      <c r="D24" s="3" t="s">
        <v>1112</v>
      </c>
      <c r="E24" s="3" t="s">
        <v>1181</v>
      </c>
    </row>
    <row r="25" ht="14.5" spans="1:5">
      <c r="A25" s="3" t="s">
        <v>1154</v>
      </c>
      <c r="B25" s="3" t="s">
        <v>1182</v>
      </c>
      <c r="C25" s="3" t="s">
        <v>1183</v>
      </c>
      <c r="D25" s="3" t="s">
        <v>1116</v>
      </c>
      <c r="E25" s="3" t="s">
        <v>1184</v>
      </c>
    </row>
    <row r="26" ht="14.5" spans="1:5">
      <c r="A26" s="3" t="s">
        <v>1185</v>
      </c>
      <c r="B26" s="3" t="s">
        <v>1186</v>
      </c>
      <c r="C26" s="3" t="s">
        <v>1187</v>
      </c>
      <c r="D26" s="3" t="s">
        <v>1165</v>
      </c>
      <c r="E26" s="3" t="s">
        <v>1188</v>
      </c>
    </row>
    <row r="27" ht="14.5" spans="1:5">
      <c r="A27" s="3" t="s">
        <v>1185</v>
      </c>
      <c r="B27" s="3" t="s">
        <v>1189</v>
      </c>
      <c r="C27" s="3" t="s">
        <v>1190</v>
      </c>
      <c r="D27" s="3" t="s">
        <v>1191</v>
      </c>
      <c r="E27" s="3" t="s">
        <v>1192</v>
      </c>
    </row>
    <row r="28" ht="14.5" spans="1:5">
      <c r="A28" s="3" t="s">
        <v>1185</v>
      </c>
      <c r="B28" s="3" t="s">
        <v>1193</v>
      </c>
      <c r="C28" s="3" t="s">
        <v>1194</v>
      </c>
      <c r="D28" s="3" t="s">
        <v>1165</v>
      </c>
      <c r="E28" s="3" t="s">
        <v>1195</v>
      </c>
    </row>
    <row r="29" ht="14.5" spans="1:5">
      <c r="A29" s="3" t="s">
        <v>1185</v>
      </c>
      <c r="B29" s="3" t="s">
        <v>1196</v>
      </c>
      <c r="C29" s="3" t="s">
        <v>1197</v>
      </c>
      <c r="D29" s="3" t="s">
        <v>1198</v>
      </c>
      <c r="E29" s="3" t="s">
        <v>1199</v>
      </c>
    </row>
    <row r="30" ht="14.5" spans="1:5">
      <c r="A30" s="3" t="s">
        <v>1185</v>
      </c>
      <c r="B30" s="3" t="s">
        <v>1200</v>
      </c>
      <c r="C30" s="3" t="s">
        <v>384</v>
      </c>
      <c r="D30" s="3" t="s">
        <v>1116</v>
      </c>
      <c r="E30" s="3" t="s">
        <v>1201</v>
      </c>
    </row>
    <row r="31" ht="14.5" spans="1:5">
      <c r="A31" s="3" t="s">
        <v>1185</v>
      </c>
      <c r="B31" s="3" t="s">
        <v>1202</v>
      </c>
      <c r="C31" s="3" t="s">
        <v>1203</v>
      </c>
      <c r="D31" s="3" t="s">
        <v>1165</v>
      </c>
      <c r="E31" s="3" t="s">
        <v>1204</v>
      </c>
    </row>
    <row r="32" ht="14.5" spans="1:5">
      <c r="A32" s="3" t="s">
        <v>1185</v>
      </c>
      <c r="B32" s="3" t="s">
        <v>1205</v>
      </c>
      <c r="C32" s="3" t="s">
        <v>1206</v>
      </c>
      <c r="D32" s="3" t="s">
        <v>1165</v>
      </c>
      <c r="E32" s="3" t="s">
        <v>1207</v>
      </c>
    </row>
    <row r="33" ht="14.5" spans="1:5">
      <c r="A33" s="3" t="s">
        <v>1208</v>
      </c>
      <c r="B33" s="3" t="s">
        <v>1209</v>
      </c>
      <c r="C33" s="3" t="s">
        <v>1210</v>
      </c>
      <c r="D33" s="3" t="s">
        <v>1112</v>
      </c>
      <c r="E33" s="3" t="s">
        <v>1211</v>
      </c>
    </row>
    <row r="34" ht="14.5" spans="1:5">
      <c r="A34" s="3" t="s">
        <v>1208</v>
      </c>
      <c r="B34" s="3" t="s">
        <v>1212</v>
      </c>
      <c r="C34" s="3" t="s">
        <v>1213</v>
      </c>
      <c r="D34" s="3" t="s">
        <v>1112</v>
      </c>
      <c r="E34" s="3" t="s">
        <v>1214</v>
      </c>
    </row>
    <row r="35" ht="14.5" spans="1:5">
      <c r="A35" s="3" t="s">
        <v>1208</v>
      </c>
      <c r="B35" s="3" t="s">
        <v>1215</v>
      </c>
      <c r="C35" s="3" t="s">
        <v>1216</v>
      </c>
      <c r="D35" s="3" t="s">
        <v>1120</v>
      </c>
      <c r="E35" s="3" t="s">
        <v>1217</v>
      </c>
    </row>
    <row r="36" ht="14.5" spans="1:5">
      <c r="A36" s="3" t="s">
        <v>1208</v>
      </c>
      <c r="B36" s="3" t="s">
        <v>1218</v>
      </c>
      <c r="C36" s="3" t="s">
        <v>1219</v>
      </c>
      <c r="D36" s="3" t="s">
        <v>1120</v>
      </c>
      <c r="E36" s="3" t="s">
        <v>1220</v>
      </c>
    </row>
    <row r="37" ht="14.5" spans="1:5">
      <c r="A37" s="3" t="s">
        <v>1208</v>
      </c>
      <c r="B37" s="3" t="s">
        <v>1221</v>
      </c>
      <c r="C37" s="3" t="s">
        <v>1222</v>
      </c>
      <c r="D37" s="3" t="s">
        <v>1120</v>
      </c>
      <c r="E37" s="3" t="s">
        <v>1223</v>
      </c>
    </row>
    <row r="38" ht="14.5" spans="1:5">
      <c r="A38" s="3" t="s">
        <v>1208</v>
      </c>
      <c r="B38" s="3" t="s">
        <v>1224</v>
      </c>
      <c r="C38" s="3" t="s">
        <v>1225</v>
      </c>
      <c r="D38" s="3" t="s">
        <v>1112</v>
      </c>
      <c r="E38" s="3" t="s">
        <v>1226</v>
      </c>
    </row>
    <row r="39" ht="14.5" spans="1:5">
      <c r="A39" s="3" t="s">
        <v>1227</v>
      </c>
      <c r="B39" s="3" t="s">
        <v>1228</v>
      </c>
      <c r="C39" s="3" t="s">
        <v>1229</v>
      </c>
      <c r="D39" s="3" t="s">
        <v>1157</v>
      </c>
      <c r="E39" s="3" t="s">
        <v>1230</v>
      </c>
    </row>
    <row r="40" ht="14.5" spans="1:5">
      <c r="A40" s="3" t="s">
        <v>1227</v>
      </c>
      <c r="B40" s="3" t="s">
        <v>1231</v>
      </c>
      <c r="C40" s="3" t="s">
        <v>1232</v>
      </c>
      <c r="D40" s="3" t="s">
        <v>1161</v>
      </c>
      <c r="E40" s="3" t="s">
        <v>1233</v>
      </c>
    </row>
    <row r="41" ht="14.5" spans="1:5">
      <c r="A41" s="3" t="s">
        <v>1227</v>
      </c>
      <c r="B41" s="3" t="s">
        <v>1234</v>
      </c>
      <c r="C41" s="3" t="s">
        <v>1235</v>
      </c>
      <c r="D41" s="3" t="s">
        <v>1161</v>
      </c>
      <c r="E41" s="3" t="s">
        <v>1236</v>
      </c>
    </row>
    <row r="42" ht="14.5" spans="1:5">
      <c r="A42" s="3" t="s">
        <v>1227</v>
      </c>
      <c r="B42" s="3" t="s">
        <v>1237</v>
      </c>
      <c r="C42" s="3" t="s">
        <v>1238</v>
      </c>
      <c r="D42" s="3" t="s">
        <v>1112</v>
      </c>
      <c r="E42" s="3" t="s">
        <v>1239</v>
      </c>
    </row>
    <row r="43" ht="14.5" spans="1:5">
      <c r="A43" s="3" t="s">
        <v>1240</v>
      </c>
      <c r="B43" s="3" t="s">
        <v>1241</v>
      </c>
      <c r="C43" s="3" t="s">
        <v>1242</v>
      </c>
      <c r="D43" s="3" t="s">
        <v>1112</v>
      </c>
      <c r="E43" s="3" t="s">
        <v>1243</v>
      </c>
    </row>
    <row r="44" ht="14.5" spans="1:5">
      <c r="A44" s="3" t="s">
        <v>1240</v>
      </c>
      <c r="B44" s="3" t="s">
        <v>1244</v>
      </c>
      <c r="C44" s="3" t="s">
        <v>1245</v>
      </c>
      <c r="D44" s="3" t="s">
        <v>1112</v>
      </c>
      <c r="E44" s="3" t="s">
        <v>1246</v>
      </c>
    </row>
    <row r="45" ht="14.5" spans="1:5">
      <c r="A45" s="3" t="s">
        <v>1240</v>
      </c>
      <c r="B45" s="3" t="s">
        <v>1247</v>
      </c>
      <c r="C45" s="3" t="s">
        <v>1248</v>
      </c>
      <c r="D45" s="3" t="s">
        <v>1116</v>
      </c>
      <c r="E45" s="3" t="s">
        <v>1249</v>
      </c>
    </row>
    <row r="46" ht="14.5" spans="1:5">
      <c r="A46" s="3" t="s">
        <v>1240</v>
      </c>
      <c r="B46" s="3" t="s">
        <v>1250</v>
      </c>
      <c r="C46" s="3" t="s">
        <v>1251</v>
      </c>
      <c r="D46" s="3" t="s">
        <v>1112</v>
      </c>
      <c r="E46" s="3" t="s">
        <v>1252</v>
      </c>
    </row>
    <row r="47" ht="14.5" spans="1:5">
      <c r="A47" s="3" t="s">
        <v>1240</v>
      </c>
      <c r="B47" s="3" t="s">
        <v>1253</v>
      </c>
      <c r="C47" s="3" t="s">
        <v>1254</v>
      </c>
      <c r="D47" s="3" t="s">
        <v>1120</v>
      </c>
      <c r="E47" s="3" t="s">
        <v>1255</v>
      </c>
    </row>
    <row r="48" ht="14.5" spans="1:5">
      <c r="A48" s="3" t="s">
        <v>1240</v>
      </c>
      <c r="B48" s="3" t="s">
        <v>1256</v>
      </c>
      <c r="C48" s="3" t="s">
        <v>1257</v>
      </c>
      <c r="D48" s="3" t="s">
        <v>1112</v>
      </c>
      <c r="E48" s="3" t="s">
        <v>1258</v>
      </c>
    </row>
    <row r="49" ht="14.5" spans="1:5">
      <c r="A49" s="3" t="s">
        <v>1259</v>
      </c>
      <c r="B49" s="3" t="s">
        <v>1260</v>
      </c>
      <c r="C49" s="3" t="s">
        <v>1261</v>
      </c>
      <c r="D49" s="3" t="s">
        <v>1112</v>
      </c>
      <c r="E49" s="3" t="s">
        <v>1262</v>
      </c>
    </row>
    <row r="50" ht="14.5" spans="1:5">
      <c r="A50" s="3" t="s">
        <v>1259</v>
      </c>
      <c r="B50" s="3" t="s">
        <v>1263</v>
      </c>
      <c r="C50" s="3" t="s">
        <v>1264</v>
      </c>
      <c r="D50" s="3" t="s">
        <v>1112</v>
      </c>
      <c r="E50" s="3" t="s">
        <v>1265</v>
      </c>
    </row>
    <row r="51" ht="14.5" spans="1:5">
      <c r="A51" s="3" t="s">
        <v>1259</v>
      </c>
      <c r="B51" s="3" t="s">
        <v>1266</v>
      </c>
      <c r="C51" s="3" t="s">
        <v>1267</v>
      </c>
      <c r="D51" s="3" t="s">
        <v>1116</v>
      </c>
      <c r="E51" s="3" t="s">
        <v>1268</v>
      </c>
    </row>
    <row r="52" ht="14.5" spans="1:5">
      <c r="A52" s="3" t="s">
        <v>1259</v>
      </c>
      <c r="B52" s="3" t="s">
        <v>1269</v>
      </c>
      <c r="C52" s="3" t="s">
        <v>1270</v>
      </c>
      <c r="D52" s="3" t="s">
        <v>1112</v>
      </c>
      <c r="E52" s="3" t="s">
        <v>1271</v>
      </c>
    </row>
    <row r="53" ht="14.5" spans="1:5">
      <c r="A53" s="3" t="s">
        <v>1259</v>
      </c>
      <c r="B53" s="3" t="s">
        <v>1272</v>
      </c>
      <c r="C53" s="3" t="s">
        <v>1273</v>
      </c>
      <c r="D53" s="3" t="s">
        <v>1152</v>
      </c>
      <c r="E53" s="3" t="s">
        <v>1274</v>
      </c>
    </row>
    <row r="54" ht="14.5" spans="1:5">
      <c r="A54" s="3" t="s">
        <v>1275</v>
      </c>
      <c r="B54" s="3" t="s">
        <v>1276</v>
      </c>
      <c r="C54" s="3" t="s">
        <v>1277</v>
      </c>
      <c r="D54" s="3" t="s">
        <v>1116</v>
      </c>
      <c r="E54" s="3" t="s">
        <v>1278</v>
      </c>
    </row>
    <row r="55" ht="14.5" spans="1:5">
      <c r="A55" s="3" t="s">
        <v>1275</v>
      </c>
      <c r="B55" s="3" t="s">
        <v>1279</v>
      </c>
      <c r="C55" s="3" t="s">
        <v>1280</v>
      </c>
      <c r="D55" s="3" t="s">
        <v>1120</v>
      </c>
      <c r="E55" s="3" t="s">
        <v>1281</v>
      </c>
    </row>
    <row r="56" ht="14.5" spans="1:5">
      <c r="A56" s="3" t="s">
        <v>1275</v>
      </c>
      <c r="B56" s="3" t="s">
        <v>1282</v>
      </c>
      <c r="C56" s="3" t="s">
        <v>1283</v>
      </c>
      <c r="D56" s="3" t="s">
        <v>1284</v>
      </c>
      <c r="E56" s="3" t="s">
        <v>1285</v>
      </c>
    </row>
    <row r="57" ht="14.5" spans="1:5">
      <c r="A57" s="3" t="s">
        <v>1275</v>
      </c>
      <c r="B57" s="3" t="s">
        <v>1286</v>
      </c>
      <c r="C57" s="3" t="s">
        <v>1287</v>
      </c>
      <c r="D57" s="3" t="s">
        <v>1288</v>
      </c>
      <c r="E57" s="3" t="s">
        <v>1289</v>
      </c>
    </row>
    <row r="58" ht="14.5" spans="1:5">
      <c r="A58" s="3" t="s">
        <v>1275</v>
      </c>
      <c r="B58" s="3" t="s">
        <v>1290</v>
      </c>
      <c r="C58" s="3" t="s">
        <v>1291</v>
      </c>
      <c r="D58" s="3" t="s">
        <v>1284</v>
      </c>
      <c r="E58" s="3" t="s">
        <v>1292</v>
      </c>
    </row>
    <row r="59" ht="14.5" spans="1:5">
      <c r="A59" s="3" t="s">
        <v>1275</v>
      </c>
      <c r="B59" s="3" t="s">
        <v>1293</v>
      </c>
      <c r="C59" s="3" t="s">
        <v>1294</v>
      </c>
      <c r="D59" s="3" t="s">
        <v>1112</v>
      </c>
      <c r="E59" s="3" t="s">
        <v>1295</v>
      </c>
    </row>
    <row r="60" ht="14.5" spans="1:5">
      <c r="A60" s="3" t="s">
        <v>1296</v>
      </c>
      <c r="B60" s="3" t="s">
        <v>1297</v>
      </c>
      <c r="C60" s="3" t="s">
        <v>1298</v>
      </c>
      <c r="D60" s="3" t="s">
        <v>1152</v>
      </c>
      <c r="E60" s="3" t="s">
        <v>1299</v>
      </c>
    </row>
    <row r="61" ht="14.5" spans="1:5">
      <c r="A61" s="3" t="s">
        <v>1296</v>
      </c>
      <c r="B61" s="3" t="s">
        <v>1300</v>
      </c>
      <c r="C61" s="3" t="s">
        <v>1301</v>
      </c>
      <c r="D61" s="3" t="s">
        <v>1165</v>
      </c>
      <c r="E61" s="3" t="s">
        <v>1302</v>
      </c>
    </row>
    <row r="62" ht="14.5" spans="1:5">
      <c r="A62" s="3" t="s">
        <v>1296</v>
      </c>
      <c r="B62" s="3" t="s">
        <v>1303</v>
      </c>
      <c r="C62" s="3" t="s">
        <v>1304</v>
      </c>
      <c r="D62" s="3" t="s">
        <v>1165</v>
      </c>
      <c r="E62" s="3" t="s">
        <v>1305</v>
      </c>
    </row>
    <row r="63" ht="14.5" spans="1:5">
      <c r="A63" s="3" t="s">
        <v>1296</v>
      </c>
      <c r="B63" s="3" t="s">
        <v>1306</v>
      </c>
      <c r="C63" s="3" t="s">
        <v>1307</v>
      </c>
      <c r="D63" s="3" t="s">
        <v>1120</v>
      </c>
      <c r="E63" s="3" t="s">
        <v>1308</v>
      </c>
    </row>
    <row r="64" ht="14.5" spans="1:5">
      <c r="A64" s="3" t="s">
        <v>1309</v>
      </c>
      <c r="B64" s="3" t="s">
        <v>1310</v>
      </c>
      <c r="C64" s="3" t="s">
        <v>1311</v>
      </c>
      <c r="D64" s="3" t="s">
        <v>1312</v>
      </c>
      <c r="E64" s="3" t="s">
        <v>1313</v>
      </c>
    </row>
    <row r="65" ht="14.5" spans="1:5">
      <c r="A65" s="3" t="s">
        <v>1309</v>
      </c>
      <c r="B65" s="3" t="s">
        <v>1314</v>
      </c>
      <c r="C65" s="3" t="s">
        <v>1315</v>
      </c>
      <c r="D65" s="3" t="s">
        <v>1116</v>
      </c>
      <c r="E65" s="3" t="s">
        <v>1316</v>
      </c>
    </row>
    <row r="66" ht="14.5" spans="1:5">
      <c r="A66" s="3" t="s">
        <v>1309</v>
      </c>
      <c r="B66" s="3" t="s">
        <v>1317</v>
      </c>
      <c r="C66" s="3" t="s">
        <v>1318</v>
      </c>
      <c r="D66" s="3" t="s">
        <v>1112</v>
      </c>
      <c r="E66" s="3" t="s">
        <v>1319</v>
      </c>
    </row>
    <row r="67" ht="14.5" spans="1:5">
      <c r="A67" s="3" t="s">
        <v>1309</v>
      </c>
      <c r="B67" s="3" t="s">
        <v>1320</v>
      </c>
      <c r="C67" s="3" t="s">
        <v>1321</v>
      </c>
      <c r="D67" s="3" t="s">
        <v>1322</v>
      </c>
      <c r="E67" s="3" t="s">
        <v>1323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A1:D1"/>
    </sheetView>
  </sheetViews>
  <sheetFormatPr defaultColWidth="9" defaultRowHeight="14" outlineLevelCol="3"/>
  <cols>
    <col min="1" max="1" width="10" customWidth="1"/>
    <col min="2" max="2" width="40" customWidth="1"/>
    <col min="3" max="3" width="36" customWidth="1"/>
    <col min="4" max="4" width="56" customWidth="1"/>
  </cols>
  <sheetData>
    <row r="1" ht="30" customHeight="1" spans="1:4">
      <c r="A1" s="1" t="s">
        <v>1324</v>
      </c>
      <c r="B1" s="1"/>
      <c r="C1" s="1"/>
      <c r="D1" s="1"/>
    </row>
    <row r="2" ht="14.5" spans="1:4">
      <c r="A2" s="2" t="s">
        <v>1325</v>
      </c>
      <c r="B2" s="2" t="s">
        <v>1326</v>
      </c>
      <c r="C2" s="2" t="s">
        <v>1327</v>
      </c>
      <c r="D2" s="2" t="s">
        <v>1328</v>
      </c>
    </row>
    <row r="3" ht="14.5" spans="1:4">
      <c r="A3" s="3">
        <v>1</v>
      </c>
      <c r="B3" s="3" t="s">
        <v>1329</v>
      </c>
      <c r="C3" s="3" t="s">
        <v>1330</v>
      </c>
      <c r="D3" s="3" t="s">
        <v>1331</v>
      </c>
    </row>
    <row r="4" ht="14.5" spans="1:4">
      <c r="A4" s="3">
        <v>11</v>
      </c>
      <c r="B4" s="3" t="s">
        <v>191</v>
      </c>
      <c r="C4" s="3" t="s">
        <v>1332</v>
      </c>
      <c r="D4" s="3" t="s">
        <v>1333</v>
      </c>
    </row>
    <row r="5" ht="14.5" spans="1:4">
      <c r="A5" s="3">
        <v>12</v>
      </c>
      <c r="B5" s="3" t="s">
        <v>1334</v>
      </c>
      <c r="C5" s="3" t="s">
        <v>1335</v>
      </c>
      <c r="D5" s="3" t="s">
        <v>1336</v>
      </c>
    </row>
    <row r="6" ht="14.5" spans="1:4">
      <c r="A6" s="3">
        <v>16</v>
      </c>
      <c r="B6" s="3" t="s">
        <v>1337</v>
      </c>
      <c r="C6" s="3" t="s">
        <v>1330</v>
      </c>
      <c r="D6" s="3" t="s">
        <v>1338</v>
      </c>
    </row>
    <row r="7" ht="14.5" spans="1:4">
      <c r="A7" s="3">
        <v>22</v>
      </c>
      <c r="B7" s="3" t="s">
        <v>1339</v>
      </c>
      <c r="C7" s="3" t="s">
        <v>1340</v>
      </c>
      <c r="D7" s="3" t="s">
        <v>1341</v>
      </c>
    </row>
    <row r="8" ht="14.5" spans="1:4">
      <c r="A8" s="3">
        <v>24</v>
      </c>
      <c r="B8" s="3" t="s">
        <v>1342</v>
      </c>
      <c r="C8" s="3" t="s">
        <v>1343</v>
      </c>
      <c r="D8" s="3" t="s">
        <v>1344</v>
      </c>
    </row>
    <row r="9" ht="14.5" spans="1:4">
      <c r="A9" s="3">
        <v>31</v>
      </c>
      <c r="B9" s="3" t="s">
        <v>1345</v>
      </c>
      <c r="C9" s="3" t="s">
        <v>1346</v>
      </c>
      <c r="D9" s="3" t="s">
        <v>1347</v>
      </c>
    </row>
    <row r="10" ht="14.5" spans="1:4">
      <c r="A10" s="3">
        <v>43</v>
      </c>
      <c r="B10" s="3" t="s">
        <v>1348</v>
      </c>
      <c r="C10" s="3" t="s">
        <v>1330</v>
      </c>
      <c r="D10" s="3" t="s">
        <v>1349</v>
      </c>
    </row>
    <row r="11" ht="14.5" spans="1:4">
      <c r="A11" s="3">
        <v>47</v>
      </c>
      <c r="B11" s="3" t="s">
        <v>1350</v>
      </c>
      <c r="C11" s="3" t="s">
        <v>1330</v>
      </c>
      <c r="D11" s="3" t="s">
        <v>1351</v>
      </c>
    </row>
    <row r="12" ht="14.5" spans="1:4">
      <c r="A12" s="3">
        <v>57</v>
      </c>
      <c r="B12" s="3" t="s">
        <v>1352</v>
      </c>
      <c r="C12" s="3" t="s">
        <v>1353</v>
      </c>
      <c r="D12" s="3" t="s">
        <v>1354</v>
      </c>
    </row>
    <row r="13" ht="14.5" spans="1:4">
      <c r="A13" s="3">
        <v>62</v>
      </c>
      <c r="B13" s="3" t="s">
        <v>1355</v>
      </c>
      <c r="C13" s="3" t="s">
        <v>1330</v>
      </c>
      <c r="D13" s="3" t="s">
        <v>1356</v>
      </c>
    </row>
    <row r="14" ht="14.5" spans="1:4">
      <c r="A14" s="3">
        <v>63</v>
      </c>
      <c r="B14" s="3" t="s">
        <v>1357</v>
      </c>
      <c r="C14" s="3" t="s">
        <v>1358</v>
      </c>
      <c r="D14" s="3" t="s">
        <v>1359</v>
      </c>
    </row>
    <row r="15" ht="14.5" spans="1:4">
      <c r="A15" s="3">
        <v>67</v>
      </c>
      <c r="B15" s="3" t="s">
        <v>1360</v>
      </c>
      <c r="C15" s="3" t="s">
        <v>1361</v>
      </c>
      <c r="D15" s="3" t="s">
        <v>1362</v>
      </c>
    </row>
    <row r="16" ht="14.5" spans="1:4">
      <c r="A16" s="3">
        <v>69</v>
      </c>
      <c r="B16" s="3" t="s">
        <v>1363</v>
      </c>
      <c r="C16" s="3" t="s">
        <v>1364</v>
      </c>
      <c r="D16" s="3" t="s">
        <v>1365</v>
      </c>
    </row>
    <row r="17" ht="14.5" spans="1:4">
      <c r="A17" s="3">
        <v>70</v>
      </c>
      <c r="B17" s="3" t="s">
        <v>1366</v>
      </c>
      <c r="C17" s="3" t="s">
        <v>1346</v>
      </c>
      <c r="D17" s="3" t="s">
        <v>1367</v>
      </c>
    </row>
    <row r="18" ht="14.5" spans="1:4">
      <c r="A18" s="3">
        <v>71</v>
      </c>
      <c r="B18" s="3" t="s">
        <v>1368</v>
      </c>
      <c r="C18" s="3" t="s">
        <v>1369</v>
      </c>
      <c r="D18" s="3" t="s">
        <v>1370</v>
      </c>
    </row>
    <row r="19" ht="14.5" spans="1:4">
      <c r="A19" s="3">
        <v>72</v>
      </c>
      <c r="B19" s="3" t="s">
        <v>1371</v>
      </c>
      <c r="C19" s="3" t="s">
        <v>1372</v>
      </c>
      <c r="D19" s="3" t="s">
        <v>1373</v>
      </c>
    </row>
  </sheetData>
  <mergeCells count="1">
    <mergeCell ref="A1:D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逐项设计</vt:lpstr>
      <vt:lpstr>规则族</vt:lpstr>
      <vt:lpstr>YOLO对象词表</vt:lpstr>
      <vt:lpstr>拆分合并建议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YY_Monster</cp:lastModifiedBy>
  <dcterms:created xsi:type="dcterms:W3CDTF">2026-08-23T16:55:00Z</dcterms:created>
  <dcterms:modified xsi:type="dcterms:W3CDTF">2026-08-24T17:50:43Z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AC043EC071BE4E40A567298474241004_12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